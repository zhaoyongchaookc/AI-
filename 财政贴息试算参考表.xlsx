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ZP5J5\Desktop\"/>
    </mc:Choice>
  </mc:AlternateContent>
  <xr:revisionPtr revIDLastSave="0" documentId="13_ncr:1_{BB0287D7-1135-453B-A809-8D60FA37AAD5}" xr6:coauthVersionLast="47" xr6:coauthVersionMax="47" xr10:uidLastSave="{00000000-0000-0000-0000-000000000000}"/>
  <workbookProtection workbookAlgorithmName="SHA-512" workbookHashValue="Oq0xisjhrG0f/gYzYtnEpBaiIAhfLhm8RaLZmmX4gFwW+7mRWegTpEbIhio3ZTWD8lwT59JuuoOMBdtoKU3igg==" workbookSaltValue="x5lmKAgG+6Bhz2lSTRFiNg==" workbookSpinCount="100000" lockStructure="1"/>
  <bookViews>
    <workbookView xWindow="-110" yWindow="-110" windowWidth="19420" windowHeight="11500" xr2:uid="{6FE2DC6C-4999-4BB5-96AD-B759A3B7964D}"/>
  </bookViews>
  <sheets>
    <sheet name="财政贴息试算" sheetId="1" r:id="rId1"/>
    <sheet name="明细表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" i="1" l="1"/>
  <c r="H10" i="1"/>
  <c r="D10" i="1"/>
  <c r="K12" i="1"/>
  <c r="K14" i="1" s="1"/>
  <c r="Q12" i="2" l="1"/>
  <c r="Q13" i="2"/>
  <c r="Q3" i="2"/>
  <c r="U3" i="2" s="1"/>
  <c r="Q4" i="2"/>
  <c r="J22" i="1" s="1"/>
  <c r="Q5" i="2"/>
  <c r="Q6" i="2"/>
  <c r="U6" i="2" s="1"/>
  <c r="Q7" i="2"/>
  <c r="J25" i="1" s="1"/>
  <c r="Q8" i="2"/>
  <c r="U8" i="2" s="1"/>
  <c r="Q9" i="2"/>
  <c r="Q10" i="2"/>
  <c r="J28" i="1" s="1"/>
  <c r="Q11" i="2"/>
  <c r="Q2" i="2"/>
  <c r="I2" i="2"/>
  <c r="F20" i="1" s="1"/>
  <c r="U7" i="2" l="1"/>
  <c r="R9" i="2"/>
  <c r="J27" i="1"/>
  <c r="R11" i="2"/>
  <c r="J29" i="1"/>
  <c r="R5" i="2"/>
  <c r="J23" i="1"/>
  <c r="U4" i="2"/>
  <c r="S10" i="2"/>
  <c r="L28" i="1" s="1"/>
  <c r="S4" i="2"/>
  <c r="L22" i="1" s="1"/>
  <c r="U11" i="2"/>
  <c r="R10" i="2"/>
  <c r="R4" i="2"/>
  <c r="U10" i="2"/>
  <c r="U9" i="2"/>
  <c r="R13" i="2"/>
  <c r="J31" i="1"/>
  <c r="R2" i="2"/>
  <c r="J20" i="1"/>
  <c r="U13" i="2"/>
  <c r="R8" i="2"/>
  <c r="J26" i="1"/>
  <c r="R12" i="2"/>
  <c r="J30" i="1"/>
  <c r="U12" i="2"/>
  <c r="K2" i="2"/>
  <c r="H20" i="1" s="1"/>
  <c r="S7" i="2"/>
  <c r="L25" i="1" s="1"/>
  <c r="M2" i="2"/>
  <c r="S2" i="2"/>
  <c r="R7" i="2"/>
  <c r="U2" i="2"/>
  <c r="R3" i="2"/>
  <c r="J21" i="1"/>
  <c r="S11" i="2"/>
  <c r="R6" i="2"/>
  <c r="J24" i="1"/>
  <c r="U5" i="2"/>
  <c r="T13" i="2"/>
  <c r="S13" i="2"/>
  <c r="T12" i="2"/>
  <c r="S12" i="2"/>
  <c r="S8" i="2"/>
  <c r="S5" i="2"/>
  <c r="S9" i="2"/>
  <c r="S6" i="2"/>
  <c r="S3" i="2"/>
  <c r="J2" i="2"/>
  <c r="G12" i="1"/>
  <c r="G13" i="1" s="1"/>
  <c r="G14" i="1" s="1"/>
  <c r="L26" i="1" l="1"/>
  <c r="T8" i="2"/>
  <c r="V8" i="2" s="1"/>
  <c r="K26" i="1" s="1"/>
  <c r="K31" i="1"/>
  <c r="L31" i="1"/>
  <c r="T4" i="2"/>
  <c r="V4" i="2" s="1"/>
  <c r="K22" i="1" s="1"/>
  <c r="L24" i="1"/>
  <c r="K30" i="1"/>
  <c r="L30" i="1"/>
  <c r="L21" i="1"/>
  <c r="L20" i="1"/>
  <c r="L23" i="1"/>
  <c r="T6" i="2"/>
  <c r="V6" i="2" s="1"/>
  <c r="K24" i="1" s="1"/>
  <c r="L29" i="1"/>
  <c r="L27" i="1"/>
  <c r="T10" i="2"/>
  <c r="V10" i="2" s="1"/>
  <c r="K28" i="1" s="1"/>
  <c r="L2" i="2"/>
  <c r="N2" i="2" s="1"/>
  <c r="V13" i="2"/>
  <c r="T9" i="2"/>
  <c r="V9" i="2" s="1"/>
  <c r="K27" i="1" s="1"/>
  <c r="T7" i="2"/>
  <c r="V7" i="2" s="1"/>
  <c r="K25" i="1" s="1"/>
  <c r="T5" i="2"/>
  <c r="V5" i="2" s="1"/>
  <c r="K23" i="1" s="1"/>
  <c r="T11" i="2"/>
  <c r="V11" i="2" s="1"/>
  <c r="K29" i="1" s="1"/>
  <c r="T2" i="2"/>
  <c r="V2" i="2" s="1"/>
  <c r="K20" i="1" s="1"/>
  <c r="T3" i="2"/>
  <c r="V3" i="2" s="1"/>
  <c r="K21" i="1" s="1"/>
  <c r="V12" i="2"/>
  <c r="I3" i="2"/>
  <c r="I4" i="2"/>
  <c r="I5" i="2"/>
  <c r="I6" i="2"/>
  <c r="I7" i="2"/>
  <c r="I8" i="2"/>
  <c r="I9" i="2"/>
  <c r="I10" i="2"/>
  <c r="I11" i="2"/>
  <c r="I12" i="2"/>
  <c r="I13" i="2"/>
  <c r="C12" i="1"/>
  <c r="C13" i="1" s="1"/>
  <c r="C14" i="1" s="1"/>
  <c r="K15" i="1" l="1"/>
  <c r="K16" i="1" s="1"/>
  <c r="F31" i="1"/>
  <c r="J13" i="2"/>
  <c r="K13" i="2"/>
  <c r="L13" i="2"/>
  <c r="M13" i="2"/>
  <c r="F28" i="1"/>
  <c r="M10" i="2"/>
  <c r="K10" i="2"/>
  <c r="J10" i="2"/>
  <c r="F27" i="1"/>
  <c r="M9" i="2"/>
  <c r="J9" i="2"/>
  <c r="K9" i="2"/>
  <c r="F23" i="1"/>
  <c r="M5" i="2"/>
  <c r="J5" i="2"/>
  <c r="K5" i="2"/>
  <c r="F22" i="1"/>
  <c r="J4" i="2"/>
  <c r="M4" i="2"/>
  <c r="K4" i="2"/>
  <c r="F30" i="1"/>
  <c r="L12" i="2"/>
  <c r="M12" i="2"/>
  <c r="J12" i="2"/>
  <c r="K12" i="2"/>
  <c r="F29" i="1"/>
  <c r="M11" i="2"/>
  <c r="J11" i="2"/>
  <c r="K11" i="2"/>
  <c r="F26" i="1"/>
  <c r="J8" i="2"/>
  <c r="K8" i="2"/>
  <c r="M8" i="2"/>
  <c r="F25" i="1"/>
  <c r="J7" i="2"/>
  <c r="K7" i="2"/>
  <c r="M7" i="2"/>
  <c r="F24" i="1"/>
  <c r="M6" i="2"/>
  <c r="J6" i="2"/>
  <c r="K6" i="2"/>
  <c r="F21" i="1"/>
  <c r="K3" i="2"/>
  <c r="M3" i="2"/>
  <c r="J3" i="2"/>
  <c r="A12" i="2"/>
  <c r="A13" i="2"/>
  <c r="A14" i="2"/>
  <c r="C14" i="2" s="1"/>
  <c r="A15" i="2"/>
  <c r="B15" i="2" s="1"/>
  <c r="A16" i="2"/>
  <c r="F16" i="2" s="1"/>
  <c r="A17" i="2"/>
  <c r="E17" i="2" s="1"/>
  <c r="A18" i="2"/>
  <c r="B18" i="2" s="1"/>
  <c r="E19" i="2"/>
  <c r="F19" i="2"/>
  <c r="L6" i="2" l="1"/>
  <c r="N12" i="2"/>
  <c r="L10" i="2"/>
  <c r="N10" i="2" s="1"/>
  <c r="G30" i="1"/>
  <c r="H30" i="1"/>
  <c r="L9" i="2"/>
  <c r="G31" i="1"/>
  <c r="H31" i="1"/>
  <c r="L7" i="2"/>
  <c r="N7" i="2" s="1"/>
  <c r="L5" i="2"/>
  <c r="N5" i="2" s="1"/>
  <c r="L4" i="2"/>
  <c r="N4" i="2" s="1"/>
  <c r="L8" i="2"/>
  <c r="N8" i="2" s="1"/>
  <c r="L3" i="2"/>
  <c r="N3" i="2" s="1"/>
  <c r="L11" i="2"/>
  <c r="N11" i="2" s="1"/>
  <c r="H22" i="1"/>
  <c r="H23" i="1"/>
  <c r="N6" i="2"/>
  <c r="H26" i="1"/>
  <c r="N9" i="2"/>
  <c r="H27" i="1"/>
  <c r="H29" i="1"/>
  <c r="H28" i="1"/>
  <c r="H24" i="1"/>
  <c r="H25" i="1"/>
  <c r="N13" i="2"/>
  <c r="H21" i="1"/>
  <c r="B13" i="2"/>
  <c r="B12" i="2"/>
  <c r="B30" i="1"/>
  <c r="B31" i="1"/>
  <c r="C17" i="2"/>
  <c r="D17" i="2"/>
  <c r="B17" i="2"/>
  <c r="E15" i="2"/>
  <c r="E14" i="2"/>
  <c r="D16" i="2"/>
  <c r="F14" i="2"/>
  <c r="D14" i="2"/>
  <c r="B14" i="2"/>
  <c r="D15" i="2"/>
  <c r="E16" i="2"/>
  <c r="C18" i="2"/>
  <c r="C15" i="2"/>
  <c r="C12" i="2"/>
  <c r="F18" i="2"/>
  <c r="E18" i="2"/>
  <c r="C16" i="2"/>
  <c r="C13" i="2"/>
  <c r="F17" i="2"/>
  <c r="B16" i="2"/>
  <c r="D18" i="2"/>
  <c r="F15" i="2"/>
  <c r="D31" i="1" l="1"/>
  <c r="D30" i="1"/>
  <c r="D13" i="2"/>
  <c r="D12" i="2"/>
  <c r="A11" i="2"/>
  <c r="A10" i="2"/>
  <c r="A9" i="2"/>
  <c r="A8" i="2"/>
  <c r="A7" i="2"/>
  <c r="A6" i="2"/>
  <c r="A5" i="2"/>
  <c r="A4" i="2"/>
  <c r="A3" i="2"/>
  <c r="A2" i="2"/>
  <c r="B25" i="1" l="1"/>
  <c r="B21" i="1"/>
  <c r="B28" i="1"/>
  <c r="B22" i="1"/>
  <c r="B26" i="1"/>
  <c r="B29" i="1"/>
  <c r="B20" i="1"/>
  <c r="C2" i="2"/>
  <c r="B2" i="2"/>
  <c r="E2" i="2"/>
  <c r="B23" i="1"/>
  <c r="B24" i="1"/>
  <c r="B27" i="1"/>
  <c r="G27" i="1"/>
  <c r="C7" i="2"/>
  <c r="B4" i="2"/>
  <c r="B5" i="2"/>
  <c r="C8" i="2"/>
  <c r="B9" i="2"/>
  <c r="B6" i="2"/>
  <c r="C11" i="2"/>
  <c r="B11" i="2"/>
  <c r="B3" i="2"/>
  <c r="C10" i="2"/>
  <c r="B10" i="2"/>
  <c r="B7" i="2"/>
  <c r="B8" i="2"/>
  <c r="C6" i="2"/>
  <c r="C5" i="2"/>
  <c r="C4" i="2"/>
  <c r="C9" i="2"/>
  <c r="C3" i="2"/>
  <c r="D29" i="1" l="1"/>
  <c r="D28" i="1"/>
  <c r="D26" i="1"/>
  <c r="D24" i="1"/>
  <c r="D23" i="1"/>
  <c r="D25" i="1"/>
  <c r="D27" i="1"/>
  <c r="D20" i="1"/>
  <c r="D22" i="1"/>
  <c r="D21" i="1"/>
  <c r="G23" i="1"/>
  <c r="G21" i="1"/>
  <c r="D2" i="2"/>
  <c r="G22" i="1"/>
  <c r="G26" i="1"/>
  <c r="G25" i="1"/>
  <c r="G29" i="1"/>
  <c r="G24" i="1"/>
  <c r="G28" i="1"/>
  <c r="D4" i="2"/>
  <c r="D10" i="2"/>
  <c r="D11" i="2"/>
  <c r="D7" i="2"/>
  <c r="D9" i="2"/>
  <c r="D3" i="2"/>
  <c r="D6" i="2"/>
  <c r="D5" i="2"/>
  <c r="E3" i="2"/>
  <c r="D8" i="2"/>
  <c r="F3" i="2" l="1"/>
  <c r="C21" i="1" s="1"/>
  <c r="F2" i="2"/>
  <c r="C20" i="1" s="1"/>
  <c r="E4" i="2"/>
  <c r="F4" i="2" l="1"/>
  <c r="C22" i="1" s="1"/>
  <c r="E5" i="2"/>
  <c r="F5" i="2" l="1"/>
  <c r="C23" i="1" s="1"/>
  <c r="E6" i="2"/>
  <c r="F6" i="2" l="1"/>
  <c r="C24" i="1" s="1"/>
  <c r="E7" i="2"/>
  <c r="F7" i="2" l="1"/>
  <c r="C25" i="1" s="1"/>
  <c r="E8" i="2"/>
  <c r="F8" i="2" l="1"/>
  <c r="C26" i="1" s="1"/>
  <c r="E9" i="2"/>
  <c r="F9" i="2" l="1"/>
  <c r="C27" i="1" s="1"/>
  <c r="E10" i="2"/>
  <c r="F10" i="2" l="1"/>
  <c r="C28" i="1" s="1"/>
  <c r="E11" i="2"/>
  <c r="F11" i="2" l="1"/>
  <c r="C29" i="1" s="1"/>
  <c r="E12" i="2"/>
  <c r="F12" i="2" l="1"/>
  <c r="C30" i="1" s="1"/>
  <c r="E13" i="2"/>
  <c r="G20" i="1"/>
  <c r="G15" i="1" s="1"/>
  <c r="G16" i="1" s="1"/>
  <c r="F13" i="2" l="1"/>
  <c r="C31" i="1" s="1"/>
  <c r="C15" i="1" s="1"/>
  <c r="C16" i="1" s="1"/>
</calcChain>
</file>

<file path=xl/sharedStrings.xml><?xml version="1.0" encoding="utf-8"?>
<sst xmlns="http://schemas.openxmlformats.org/spreadsheetml/2006/main" count="68" uniqueCount="31">
  <si>
    <t>试算月还金额</t>
    <phoneticPr fontId="2" type="noConversion"/>
  </si>
  <si>
    <t>等额本息类</t>
    <phoneticPr fontId="2" type="noConversion"/>
  </si>
  <si>
    <t>5050方案</t>
    <phoneticPr fontId="2" type="noConversion"/>
  </si>
  <si>
    <t>6666方案</t>
    <phoneticPr fontId="2" type="noConversion"/>
  </si>
  <si>
    <t>政策结束日期</t>
    <phoneticPr fontId="2" type="noConversion"/>
  </si>
  <si>
    <t>期数</t>
    <phoneticPr fontId="6" type="noConversion"/>
  </si>
  <si>
    <t>当期起始日</t>
    <phoneticPr fontId="6" type="noConversion"/>
  </si>
  <si>
    <t>当期结束日</t>
    <phoneticPr fontId="6" type="noConversion"/>
  </si>
  <si>
    <t>当期天数</t>
  </si>
  <si>
    <t>期初剩余本金</t>
  </si>
  <si>
    <t>单期应贴息</t>
    <phoneticPr fontId="6" type="noConversion"/>
  </si>
  <si>
    <t>单期应贴息试算</t>
    <phoneticPr fontId="2" type="noConversion"/>
  </si>
  <si>
    <t>试算总利息</t>
    <phoneticPr fontId="2" type="noConversion"/>
  </si>
  <si>
    <t>客户试算年化利率</t>
    <phoneticPr fontId="2" type="noConversion"/>
  </si>
  <si>
    <t>可享受贴息期数</t>
    <phoneticPr fontId="2" type="noConversion"/>
  </si>
  <si>
    <t>5050期数</t>
    <phoneticPr fontId="2" type="noConversion"/>
  </si>
  <si>
    <t>6666期数</t>
    <phoneticPr fontId="2" type="noConversion"/>
  </si>
  <si>
    <t>注：年累财政贴息上限为3000元。</t>
    <phoneticPr fontId="2" type="noConversion"/>
  </si>
  <si>
    <r>
      <t xml:space="preserve">预估放款日期
</t>
    </r>
    <r>
      <rPr>
        <sz val="9"/>
        <color rgb="FFFF0000"/>
        <rFont val="等线"/>
        <family val="3"/>
        <charset val="134"/>
        <scheme val="minor"/>
      </rPr>
      <t>（格式：年/月/日）</t>
    </r>
    <phoneticPr fontId="2" type="noConversion"/>
  </si>
  <si>
    <t>贷款本金(元)</t>
    <phoneticPr fontId="2" type="noConversion"/>
  </si>
  <si>
    <t>贷款期限(月)</t>
    <phoneticPr fontId="2" type="noConversion"/>
  </si>
  <si>
    <t>预估客户可享受的
财政贴息合计(元)</t>
    <phoneticPr fontId="2" type="noConversion"/>
  </si>
  <si>
    <t>贴息计息截止日期</t>
    <phoneticPr fontId="2" type="noConversion"/>
  </si>
  <si>
    <t>财政贴息明细（试算）</t>
    <phoneticPr fontId="2" type="noConversion"/>
  </si>
  <si>
    <t>试算年化费率</t>
    <phoneticPr fontId="2" type="noConversion"/>
  </si>
  <si>
    <t xml:space="preserve">注：以下仅为测算示例，具体财政贴息金额以实际执行为准。  </t>
    <phoneticPr fontId="2" type="noConversion"/>
  </si>
  <si>
    <r>
      <t xml:space="preserve">注：财政贴息不超过客户实际承担的利息（最低可贴息至 0息）。
</t>
    </r>
    <r>
      <rPr>
        <i/>
        <sz val="9"/>
        <color theme="1"/>
        <rFont val="等线"/>
        <family val="3"/>
        <charset val="134"/>
        <scheme val="minor"/>
      </rPr>
      <t>示例：若厂商贴息后客户实际承担年化利率为 0.5%，则财政贴息最高贴息比例为0.5%</t>
    </r>
    <phoneticPr fontId="2" type="noConversion"/>
  </si>
  <si>
    <r>
      <t xml:space="preserve">财政贴息比例
</t>
    </r>
    <r>
      <rPr>
        <sz val="9"/>
        <color theme="1"/>
        <rFont val="等线"/>
        <family val="3"/>
        <charset val="134"/>
        <scheme val="minor"/>
      </rPr>
      <t>（上限）</t>
    </r>
    <phoneticPr fontId="2" type="noConversion"/>
  </si>
  <si>
    <t>财政贴息政策适用范围： 个人客户、自用车，且客户在财政贴息前实际承担贷款利率不为0%；
同一客户在我司年度累计财政贴息上限为3000元，资质审核以我司及财政最终审核结果为准。</t>
    <phoneticPr fontId="2" type="noConversion"/>
  </si>
  <si>
    <t>录入贷款参数</t>
    <phoneticPr fontId="2" type="noConversion"/>
  </si>
  <si>
    <t>抵扣财政贴息后
客户试算年化费率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</si>
</sst>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1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2"/>
      <color theme="1"/>
      <name val="华文细黑"/>
      <family val="3"/>
      <charset val="134"/>
    </font>
    <font>
      <sz val="9"/>
      <name val="华文细黑"/>
      <family val="2"/>
      <charset val="134"/>
    </font>
    <font>
      <sz val="11"/>
      <color theme="0"/>
      <name val="等线"/>
      <family val="2"/>
      <charset val="134"/>
      <scheme val="minor"/>
    </font>
    <font>
      <sz val="9"/>
      <color theme="0"/>
      <name val="等线"/>
      <family val="3"/>
      <charset val="134"/>
      <scheme val="minor"/>
    </font>
    <font>
      <b/>
      <sz val="11"/>
      <color theme="4"/>
      <name val="等线"/>
      <family val="3"/>
      <charset val="134"/>
      <scheme val="minor"/>
    </font>
    <font>
      <sz val="9"/>
      <color rgb="FFFF0000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i/>
      <sz val="9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593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5" fillId="0" borderId="1" xfId="0" applyFont="1" applyBorder="1" applyAlignment="1">
      <alignment horizontal="left" vertical="center" wrapText="1"/>
    </xf>
    <xf numFmtId="14" fontId="0" fillId="0" borderId="0" xfId="0" applyNumberFormat="1">
      <alignment vertical="center"/>
    </xf>
    <xf numFmtId="14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14" fontId="0" fillId="0" borderId="0" xfId="0" applyNumberFormat="1" applyFont="1" applyFill="1">
      <alignment vertical="center"/>
    </xf>
    <xf numFmtId="2" fontId="0" fillId="0" borderId="0" xfId="0" applyNumberFormat="1">
      <alignment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Protection="1">
      <alignment vertical="center"/>
      <protection hidden="1"/>
    </xf>
    <xf numFmtId="9" fontId="7" fillId="0" borderId="0" xfId="0" applyNumberFormat="1" applyFont="1" applyProtection="1">
      <alignment vertical="center"/>
      <protection hidden="1"/>
    </xf>
    <xf numFmtId="0" fontId="0" fillId="4" borderId="4" xfId="0" applyFill="1" applyBorder="1" applyAlignment="1" applyProtection="1">
      <alignment horizontal="center" vertical="center"/>
      <protection hidden="1"/>
    </xf>
    <xf numFmtId="0" fontId="0" fillId="4" borderId="0" xfId="0" applyFont="1" applyFill="1" applyBorder="1" applyAlignment="1" applyProtection="1">
      <alignment horizontal="center" vertical="center"/>
      <protection hidden="1"/>
    </xf>
    <xf numFmtId="2" fontId="0" fillId="4" borderId="0" xfId="0" applyNumberFormat="1" applyFill="1" applyBorder="1" applyAlignment="1" applyProtection="1">
      <alignment horizontal="center" vertical="center"/>
      <protection hidden="1"/>
    </xf>
    <xf numFmtId="0" fontId="0" fillId="4" borderId="0" xfId="0" applyFill="1" applyBorder="1" applyAlignment="1" applyProtection="1">
      <alignment horizontal="center" vertical="center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2" fontId="0" fillId="4" borderId="0" xfId="0" applyNumberFormat="1" applyFill="1" applyAlignment="1" applyProtection="1">
      <alignment horizontal="center" vertical="center"/>
      <protection hidden="1"/>
    </xf>
    <xf numFmtId="0" fontId="0" fillId="0" borderId="0" xfId="0" applyFont="1" applyFill="1" applyBorder="1" applyAlignment="1" applyProtection="1">
      <alignment horizontal="center" vertical="center"/>
      <protection hidden="1"/>
    </xf>
    <xf numFmtId="2" fontId="0" fillId="0" borderId="0" xfId="0" applyNumberFormat="1" applyFill="1" applyBorder="1" applyAlignment="1" applyProtection="1">
      <alignment horizontal="center" vertical="center"/>
      <protection hidden="1"/>
    </xf>
    <xf numFmtId="0" fontId="0" fillId="0" borderId="0" xfId="0" applyFill="1" applyProtection="1">
      <alignment vertical="center"/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0" fontId="0" fillId="0" borderId="0" xfId="0" applyFill="1" applyAlignment="1" applyProtection="1">
      <alignment horizontal="center" vertical="center"/>
      <protection hidden="1"/>
    </xf>
    <xf numFmtId="2" fontId="0" fillId="0" borderId="0" xfId="0" applyNumberFormat="1" applyFill="1" applyAlignment="1" applyProtection="1">
      <alignment horizontal="center" vertical="center"/>
      <protection hidden="1"/>
    </xf>
    <xf numFmtId="176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10" fontId="4" fillId="2" borderId="1" xfId="1" applyNumberFormat="1" applyFont="1" applyFill="1" applyBorder="1" applyAlignment="1" applyProtection="1">
      <alignment horizontal="center" vertical="center"/>
      <protection locked="0"/>
    </xf>
    <xf numFmtId="14" fontId="4" fillId="2" borderId="1" xfId="0" applyNumberFormat="1" applyFont="1" applyFill="1" applyBorder="1" applyAlignment="1" applyProtection="1">
      <alignment horizontal="center" vertical="center"/>
      <protection locked="0"/>
    </xf>
    <xf numFmtId="177" fontId="11" fillId="3" borderId="1" xfId="0" applyNumberFormat="1" applyFont="1" applyFill="1" applyBorder="1" applyAlignment="1" applyProtection="1">
      <alignment horizontal="center" vertical="center"/>
      <protection hidden="1"/>
    </xf>
    <xf numFmtId="0" fontId="11" fillId="0" borderId="0" xfId="0" applyFont="1" applyProtection="1">
      <alignment vertical="center"/>
      <protection hidden="1"/>
    </xf>
    <xf numFmtId="1" fontId="11" fillId="3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8" fillId="0" borderId="0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Fill="1" applyAlignment="1" applyProtection="1">
      <alignment horizontal="center" vertical="center" wrapText="1"/>
      <protection hidden="1"/>
    </xf>
    <xf numFmtId="0" fontId="0" fillId="7" borderId="1" xfId="0" applyFill="1" applyBorder="1" applyAlignment="1" applyProtection="1">
      <alignment horizontal="right" vertical="center"/>
      <protection hidden="1"/>
    </xf>
    <xf numFmtId="0" fontId="0" fillId="7" borderId="1" xfId="0" applyFill="1" applyBorder="1" applyAlignment="1" applyProtection="1">
      <alignment horizontal="right" vertical="center" wrapText="1"/>
      <protection hidden="1"/>
    </xf>
    <xf numFmtId="0" fontId="11" fillId="7" borderId="1" xfId="0" applyFont="1" applyFill="1" applyBorder="1" applyAlignment="1" applyProtection="1">
      <alignment horizontal="right" vertical="center"/>
      <protection hidden="1"/>
    </xf>
    <xf numFmtId="0" fontId="3" fillId="7" borderId="1" xfId="0" applyFont="1" applyFill="1" applyBorder="1" applyAlignment="1" applyProtection="1">
      <alignment horizontal="center" vertical="center"/>
      <protection hidden="1"/>
    </xf>
    <xf numFmtId="176" fontId="3" fillId="4" borderId="1" xfId="0" applyNumberFormat="1" applyFont="1" applyFill="1" applyBorder="1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left" vertical="center"/>
      <protection hidden="1"/>
    </xf>
    <xf numFmtId="10" fontId="11" fillId="3" borderId="1" xfId="1" applyNumberFormat="1" applyFont="1" applyFill="1" applyBorder="1" applyAlignment="1" applyProtection="1">
      <alignment horizontal="center" vertical="center"/>
      <protection hidden="1"/>
    </xf>
    <xf numFmtId="0" fontId="11" fillId="7" borderId="1" xfId="0" applyFont="1" applyFill="1" applyBorder="1" applyAlignment="1" applyProtection="1">
      <alignment horizontal="right" vertical="center" wrapText="1"/>
      <protection hidden="1"/>
    </xf>
    <xf numFmtId="10" fontId="11" fillId="7" borderId="1" xfId="1" applyNumberFormat="1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protection hidden="1"/>
    </xf>
    <xf numFmtId="14" fontId="3" fillId="10" borderId="9" xfId="0" applyNumberFormat="1" applyFont="1" applyFill="1" applyBorder="1" applyAlignment="1" applyProtection="1">
      <alignment horizontal="center" vertical="center"/>
      <protection hidden="1"/>
    </xf>
    <xf numFmtId="0" fontId="0" fillId="10" borderId="10" xfId="0" applyFill="1" applyBorder="1" applyAlignment="1" applyProtection="1">
      <alignment horizontal="center" vertical="center"/>
      <protection hidden="1"/>
    </xf>
    <xf numFmtId="0" fontId="0" fillId="10" borderId="8" xfId="0" applyFill="1" applyBorder="1" applyAlignment="1" applyProtection="1">
      <alignment horizontal="center" vertical="center" wrapText="1"/>
      <protection hidden="1"/>
    </xf>
    <xf numFmtId="9" fontId="0" fillId="10" borderId="11" xfId="0" applyNumberFormat="1" applyFill="1" applyBorder="1" applyAlignment="1" applyProtection="1">
      <alignment horizontal="center" vertical="center"/>
      <protection hidden="1"/>
    </xf>
    <xf numFmtId="0" fontId="0" fillId="8" borderId="2" xfId="0" applyFill="1" applyBorder="1" applyAlignment="1" applyProtection="1">
      <alignment horizontal="center" vertical="center"/>
      <protection hidden="1"/>
    </xf>
    <xf numFmtId="0" fontId="0" fillId="8" borderId="3" xfId="0" applyFill="1" applyBorder="1" applyAlignment="1" applyProtection="1">
      <alignment horizontal="center" vertical="center"/>
      <protection hidden="1"/>
    </xf>
    <xf numFmtId="0" fontId="0" fillId="5" borderId="0" xfId="0" applyFill="1" applyBorder="1" applyAlignment="1" applyProtection="1">
      <alignment horizontal="center" vertical="center"/>
      <protection hidden="1"/>
    </xf>
    <xf numFmtId="0" fontId="11" fillId="7" borderId="5" xfId="0" applyFont="1" applyFill="1" applyBorder="1" applyAlignment="1" applyProtection="1">
      <alignment horizontal="right" vertical="center"/>
      <protection hidden="1"/>
    </xf>
    <xf numFmtId="0" fontId="11" fillId="7" borderId="6" xfId="0" applyFont="1" applyFill="1" applyBorder="1" applyAlignment="1" applyProtection="1">
      <alignment horizontal="right" vertical="center"/>
      <protection hidden="1"/>
    </xf>
    <xf numFmtId="177" fontId="11" fillId="3" borderId="5" xfId="0" applyNumberFormat="1" applyFont="1" applyFill="1" applyBorder="1" applyAlignment="1" applyProtection="1">
      <alignment horizontal="center" vertical="center"/>
      <protection hidden="1"/>
    </xf>
    <xf numFmtId="177" fontId="11" fillId="3" borderId="6" xfId="0" applyNumberFormat="1" applyFont="1" applyFill="1" applyBorder="1" applyAlignment="1" applyProtection="1">
      <alignment horizontal="center" vertical="center"/>
      <protection hidden="1"/>
    </xf>
    <xf numFmtId="0" fontId="9" fillId="6" borderId="0" xfId="0" applyFont="1" applyFill="1" applyAlignment="1" applyProtection="1">
      <alignment horizontal="left" vertical="center" wrapText="1"/>
      <protection hidden="1"/>
    </xf>
    <xf numFmtId="0" fontId="12" fillId="9" borderId="0" xfId="0" applyFont="1" applyFill="1" applyAlignment="1" applyProtection="1">
      <alignment horizontal="left" vertical="center" wrapText="1"/>
      <protection hidden="1"/>
    </xf>
    <xf numFmtId="0" fontId="12" fillId="9" borderId="0" xfId="0" applyFont="1" applyFill="1" applyAlignment="1" applyProtection="1">
      <alignment horizontal="left" vertical="center"/>
      <protection hidden="1"/>
    </xf>
    <xf numFmtId="0" fontId="9" fillId="0" borderId="0" xfId="0" applyFont="1" applyFill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8" fillId="0" borderId="7" xfId="0" applyFont="1" applyBorder="1" applyAlignment="1" applyProtection="1">
      <alignment horizontal="left" vertical="center" wrapText="1"/>
      <protection hidden="1"/>
    </xf>
    <xf numFmtId="0" fontId="8" fillId="0" borderId="0" xfId="0" applyFont="1" applyAlignment="1" applyProtection="1">
      <alignment horizontal="left" vertical="center" wrapText="1"/>
      <protection hidden="1"/>
    </xf>
  </cellXfs>
  <cellStyles count="2">
    <cellStyle name="百分比" xfId="1" builtinId="5"/>
    <cellStyle name="常规" xfId="0" builtinId="0"/>
  </cellStyles>
  <dxfs count="4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E5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2C43-47A4-4B5C-AC7E-3A95717D888D}">
  <dimension ref="B1:L31"/>
  <sheetViews>
    <sheetView showGridLines="0" tabSelected="1" zoomScale="85" zoomScaleNormal="85" workbookViewId="0">
      <pane ySplit="6" topLeftCell="A7" activePane="bottomLeft" state="frozen"/>
      <selection activeCell="B1" sqref="B1"/>
      <selection pane="bottomLeft" activeCell="D15" sqref="D15:E15"/>
    </sheetView>
  </sheetViews>
  <sheetFormatPr defaultRowHeight="14" x14ac:dyDescent="0.3"/>
  <cols>
    <col min="1" max="1" width="1.6640625" style="9" customWidth="1"/>
    <col min="2" max="2" width="15.9140625" style="9" customWidth="1"/>
    <col min="3" max="3" width="14.08203125" style="9" customWidth="1"/>
    <col min="4" max="4" width="16.25" style="9" bestFit="1" customWidth="1"/>
    <col min="5" max="5" width="8.6640625" style="9"/>
    <col min="6" max="6" width="17.25" style="9" customWidth="1"/>
    <col min="7" max="7" width="14.08203125" style="9" customWidth="1"/>
    <col min="8" max="8" width="16.25" style="9" bestFit="1" customWidth="1"/>
    <col min="9" max="9" width="8.6640625" style="9"/>
    <col min="10" max="10" width="16.9140625" style="9" customWidth="1"/>
    <col min="11" max="11" width="13.6640625" style="9" customWidth="1"/>
    <col min="12" max="12" width="16.25" style="9" bestFit="1" customWidth="1"/>
    <col min="13" max="16384" width="8.6640625" style="9"/>
  </cols>
  <sheetData>
    <row r="1" spans="2:12" ht="33.5" customHeight="1" x14ac:dyDescent="0.3">
      <c r="B1" s="55" t="s">
        <v>28</v>
      </c>
      <c r="C1" s="55"/>
      <c r="D1" s="55"/>
      <c r="E1" s="55"/>
      <c r="F1" s="55"/>
      <c r="G1" s="55"/>
    </row>
    <row r="2" spans="2:12" ht="26.5" customHeight="1" x14ac:dyDescent="0.3">
      <c r="B2" s="46" t="s">
        <v>27</v>
      </c>
      <c r="C2" s="47">
        <v>0.01</v>
      </c>
      <c r="D2" s="56" t="s">
        <v>26</v>
      </c>
      <c r="E2" s="57"/>
      <c r="F2" s="57"/>
      <c r="G2" s="57"/>
    </row>
    <row r="3" spans="2:12" ht="22" customHeight="1" x14ac:dyDescent="0.3">
      <c r="B3" s="45" t="s">
        <v>4</v>
      </c>
      <c r="C3" s="44">
        <v>46387</v>
      </c>
      <c r="D3" s="58"/>
      <c r="E3" s="58"/>
      <c r="F3" s="58"/>
      <c r="G3" s="58"/>
    </row>
    <row r="4" spans="2:12" ht="7.5" customHeight="1" x14ac:dyDescent="0.3"/>
    <row r="5" spans="2:12" ht="21.5" customHeight="1" x14ac:dyDescent="0.3">
      <c r="B5" s="59" t="s">
        <v>25</v>
      </c>
      <c r="C5" s="59"/>
      <c r="D5" s="59"/>
      <c r="E5" s="59"/>
    </row>
    <row r="6" spans="2:12" s="43" customFormat="1" ht="21.5" customHeight="1" x14ac:dyDescent="0.3">
      <c r="B6" s="42" t="s">
        <v>1</v>
      </c>
      <c r="F6" s="42" t="s">
        <v>2</v>
      </c>
      <c r="J6" s="42" t="s">
        <v>3</v>
      </c>
    </row>
    <row r="7" spans="2:12" ht="18" customHeight="1" x14ac:dyDescent="0.3">
      <c r="B7" s="48" t="s">
        <v>29</v>
      </c>
      <c r="C7" s="49"/>
      <c r="F7" s="48" t="s">
        <v>29</v>
      </c>
      <c r="G7" s="49"/>
      <c r="J7" s="48" t="s">
        <v>29</v>
      </c>
      <c r="K7" s="49"/>
    </row>
    <row r="8" spans="2:12" ht="18" customHeight="1" x14ac:dyDescent="0.3">
      <c r="B8" s="33" t="s">
        <v>19</v>
      </c>
      <c r="C8" s="23">
        <v>33000</v>
      </c>
      <c r="F8" s="33" t="s">
        <v>19</v>
      </c>
      <c r="G8" s="23">
        <v>54145</v>
      </c>
      <c r="J8" s="33" t="s">
        <v>19</v>
      </c>
      <c r="K8" s="23">
        <v>70000</v>
      </c>
    </row>
    <row r="9" spans="2:12" ht="18" customHeight="1" x14ac:dyDescent="0.3">
      <c r="B9" s="33" t="s">
        <v>20</v>
      </c>
      <c r="C9" s="24">
        <v>12</v>
      </c>
      <c r="F9" s="33" t="s">
        <v>20</v>
      </c>
      <c r="G9" s="36">
        <v>12</v>
      </c>
      <c r="J9" s="33" t="s">
        <v>20</v>
      </c>
      <c r="K9" s="36">
        <v>24</v>
      </c>
    </row>
    <row r="10" spans="2:12" ht="18" customHeight="1" x14ac:dyDescent="0.3">
      <c r="B10" s="33" t="s">
        <v>13</v>
      </c>
      <c r="C10" s="25">
        <v>0.01</v>
      </c>
      <c r="D10" s="10">
        <f>MIN(C2,C10)</f>
        <v>0.01</v>
      </c>
      <c r="F10" s="33" t="s">
        <v>13</v>
      </c>
      <c r="G10" s="25">
        <v>9.9000000000000008E-3</v>
      </c>
      <c r="H10" s="10">
        <f>MIN(C2,G10)</f>
        <v>9.9000000000000008E-3</v>
      </c>
      <c r="J10" s="33" t="s">
        <v>13</v>
      </c>
      <c r="K10" s="25">
        <v>3.1800000000000002E-2</v>
      </c>
      <c r="L10" s="10">
        <f>MIN(C2,K10)</f>
        <v>0.01</v>
      </c>
    </row>
    <row r="11" spans="2:12" ht="25.5" x14ac:dyDescent="0.3">
      <c r="B11" s="34" t="s">
        <v>18</v>
      </c>
      <c r="C11" s="26">
        <v>46093</v>
      </c>
      <c r="F11" s="34" t="s">
        <v>18</v>
      </c>
      <c r="G11" s="26">
        <v>46082</v>
      </c>
      <c r="J11" s="34" t="s">
        <v>18</v>
      </c>
      <c r="K11" s="26">
        <v>46084</v>
      </c>
    </row>
    <row r="12" spans="2:12" ht="13.5" customHeight="1" x14ac:dyDescent="0.3">
      <c r="B12" s="35" t="s">
        <v>0</v>
      </c>
      <c r="C12" s="27">
        <f>PMT(C10/12,C9,-C8)</f>
        <v>2764.9185813413005</v>
      </c>
      <c r="D12" s="28"/>
      <c r="E12" s="28"/>
      <c r="F12" s="35" t="s">
        <v>0</v>
      </c>
      <c r="G12" s="27">
        <f>PMT(G10/12,G9,-G8,G8)</f>
        <v>44.669625000000003</v>
      </c>
      <c r="H12" s="28"/>
      <c r="I12" s="28"/>
      <c r="J12" s="51" t="s">
        <v>12</v>
      </c>
      <c r="K12" s="53">
        <f>K10/12*K8*6+K10/12*(K8*75%)*6+K10/12*(K8*50%)*6+K10/12*(K8*25%)*6</f>
        <v>2782.5</v>
      </c>
    </row>
    <row r="13" spans="2:12" ht="13.5" customHeight="1" x14ac:dyDescent="0.3">
      <c r="B13" s="35" t="s">
        <v>12</v>
      </c>
      <c r="C13" s="29">
        <f>C12*C9-C8</f>
        <v>179.02297609560628</v>
      </c>
      <c r="D13" s="28"/>
      <c r="E13" s="28"/>
      <c r="F13" s="35" t="s">
        <v>12</v>
      </c>
      <c r="G13" s="27">
        <f>G12*G9</f>
        <v>536.03550000000007</v>
      </c>
      <c r="H13" s="28"/>
      <c r="I13" s="28"/>
      <c r="J13" s="52"/>
      <c r="K13" s="54"/>
    </row>
    <row r="14" spans="2:12" ht="17.5" customHeight="1" x14ac:dyDescent="0.3">
      <c r="B14" s="35" t="s">
        <v>24</v>
      </c>
      <c r="C14" s="39">
        <f>C13/C8/(C9/12)</f>
        <v>5.4249386695638269E-3</v>
      </c>
      <c r="D14" s="28"/>
      <c r="E14" s="28"/>
      <c r="F14" s="35" t="s">
        <v>24</v>
      </c>
      <c r="G14" s="39">
        <f>G13/G8/(G9/12)</f>
        <v>9.9000000000000008E-3</v>
      </c>
      <c r="H14" s="28"/>
      <c r="I14" s="28"/>
      <c r="J14" s="35" t="s">
        <v>24</v>
      </c>
      <c r="K14" s="39">
        <f>K12/K8/(K9/12)</f>
        <v>1.9875E-2</v>
      </c>
    </row>
    <row r="15" spans="2:12" ht="28" x14ac:dyDescent="0.3">
      <c r="B15" s="34" t="s">
        <v>21</v>
      </c>
      <c r="C15" s="37">
        <f>SUM(C20:C31)</f>
        <v>169.81808799928396</v>
      </c>
      <c r="D15" s="60" t="s">
        <v>17</v>
      </c>
      <c r="E15" s="61"/>
      <c r="F15" s="34" t="s">
        <v>21</v>
      </c>
      <c r="G15" s="37">
        <f>SUM(G20:G31)</f>
        <v>446.69625000000002</v>
      </c>
      <c r="J15" s="34" t="s">
        <v>21</v>
      </c>
      <c r="K15" s="37">
        <f>SUM(K20:K31)</f>
        <v>523.54166666666663</v>
      </c>
    </row>
    <row r="16" spans="2:12" s="21" customFormat="1" ht="26" x14ac:dyDescent="0.3">
      <c r="B16" s="40" t="s">
        <v>30</v>
      </c>
      <c r="C16" s="41">
        <f>(C13-C15)/C8/(C9/12)</f>
        <v>2.7893600291885822E-4</v>
      </c>
      <c r="D16" s="31"/>
      <c r="E16" s="32"/>
      <c r="F16" s="40" t="s">
        <v>30</v>
      </c>
      <c r="G16" s="41">
        <f>(G13-G15)/G8/(G9/12)</f>
        <v>1.6500000000000009E-3</v>
      </c>
      <c r="J16" s="40" t="s">
        <v>30</v>
      </c>
      <c r="K16" s="41">
        <f>(K12-K15)/K8/(K9/12)</f>
        <v>1.6135416666666669E-2</v>
      </c>
    </row>
    <row r="18" spans="2:12" ht="18" customHeight="1" x14ac:dyDescent="0.3">
      <c r="B18" s="50" t="s">
        <v>23</v>
      </c>
      <c r="C18" s="50"/>
      <c r="F18" s="50" t="s">
        <v>23</v>
      </c>
      <c r="G18" s="50"/>
      <c r="J18" s="50" t="s">
        <v>23</v>
      </c>
      <c r="K18" s="50"/>
    </row>
    <row r="19" spans="2:12" x14ac:dyDescent="0.3">
      <c r="B19" s="11" t="s">
        <v>14</v>
      </c>
      <c r="C19" s="11" t="s">
        <v>11</v>
      </c>
      <c r="D19" s="30" t="s">
        <v>22</v>
      </c>
      <c r="F19" s="11" t="s">
        <v>14</v>
      </c>
      <c r="G19" s="11" t="s">
        <v>11</v>
      </c>
      <c r="H19" s="30" t="s">
        <v>22</v>
      </c>
      <c r="J19" s="11" t="s">
        <v>14</v>
      </c>
      <c r="K19" s="11" t="s">
        <v>11</v>
      </c>
      <c r="L19" s="30" t="s">
        <v>22</v>
      </c>
    </row>
    <row r="20" spans="2:12" x14ac:dyDescent="0.3">
      <c r="B20" s="12">
        <f>明细表!A2</f>
        <v>1</v>
      </c>
      <c r="C20" s="13">
        <f>IF(B20="","",明细表!F2)</f>
        <v>27.5</v>
      </c>
      <c r="D20" s="38">
        <f>IF(B20="","",明细表!C2)</f>
        <v>46123</v>
      </c>
      <c r="F20" s="14">
        <f>明细表!I2</f>
        <v>1</v>
      </c>
      <c r="G20" s="13">
        <f>IF(F20="","",明细表!N2)</f>
        <v>44.669625000000003</v>
      </c>
      <c r="H20" s="38">
        <f>IF(F20="","",明细表!K2)</f>
        <v>46112</v>
      </c>
      <c r="J20" s="15">
        <f>明细表!Q2</f>
        <v>1</v>
      </c>
      <c r="K20" s="16">
        <f>IF(J20="","",明细表!V2)</f>
        <v>58.333333333333336</v>
      </c>
      <c r="L20" s="38">
        <f>IF(J20="","",明细表!S2)</f>
        <v>46114</v>
      </c>
    </row>
    <row r="21" spans="2:12" x14ac:dyDescent="0.3">
      <c r="B21" s="12">
        <f>明细表!A3</f>
        <v>2</v>
      </c>
      <c r="C21" s="13">
        <f>IF(B21="","",明细表!F3)</f>
        <v>25.218817848881923</v>
      </c>
      <c r="D21" s="38">
        <f>IF(B21="","",明细表!C3)</f>
        <v>46153</v>
      </c>
      <c r="F21" s="14">
        <f>明细表!I3</f>
        <v>2</v>
      </c>
      <c r="G21" s="13">
        <f>IF(F21="","",明细表!N3)</f>
        <v>44.669625000000003</v>
      </c>
      <c r="H21" s="38">
        <f>IF(F21="","",明细表!K3)</f>
        <v>46142</v>
      </c>
      <c r="J21" s="15">
        <f>明细表!Q3</f>
        <v>2</v>
      </c>
      <c r="K21" s="16">
        <f>IF(J21="","",明细表!V3)</f>
        <v>58.333333333333336</v>
      </c>
      <c r="L21" s="38">
        <f>IF(J21="","",明细表!S3)</f>
        <v>46144</v>
      </c>
    </row>
    <row r="22" spans="2:12" x14ac:dyDescent="0.3">
      <c r="B22" s="12">
        <f>明细表!A4</f>
        <v>3</v>
      </c>
      <c r="C22" s="13">
        <f>IF(B22="","",明细表!F4)</f>
        <v>22.93573471263791</v>
      </c>
      <c r="D22" s="38">
        <f>IF(B22="","",明细表!C4)</f>
        <v>46184</v>
      </c>
      <c r="F22" s="14">
        <f>明细表!I4</f>
        <v>3</v>
      </c>
      <c r="G22" s="13">
        <f>IF(F22="","",明细表!N4)</f>
        <v>44.669625000000003</v>
      </c>
      <c r="H22" s="38">
        <f>IF(F22="","",明细表!K4)</f>
        <v>46173</v>
      </c>
      <c r="J22" s="15">
        <f>明细表!Q4</f>
        <v>3</v>
      </c>
      <c r="K22" s="16">
        <f>IF(J22="","",明细表!V4)</f>
        <v>58.333333333333336</v>
      </c>
      <c r="L22" s="38">
        <f>IF(J22="","",明细表!S4)</f>
        <v>46175</v>
      </c>
    </row>
    <row r="23" spans="2:12" x14ac:dyDescent="0.3">
      <c r="B23" s="12">
        <f>明细表!A5</f>
        <v>4</v>
      </c>
      <c r="C23" s="13">
        <f>IF(B23="","",明细表!F5)</f>
        <v>20.650749007113689</v>
      </c>
      <c r="D23" s="38">
        <f>IF(B23="","",明细表!C5)</f>
        <v>46214</v>
      </c>
      <c r="F23" s="14">
        <f>明细表!I5</f>
        <v>4</v>
      </c>
      <c r="G23" s="13">
        <f>IF(F23="","",明细表!N5)</f>
        <v>44.669625000000003</v>
      </c>
      <c r="H23" s="38">
        <f>IF(F23="","",明细表!K5)</f>
        <v>46203</v>
      </c>
      <c r="J23" s="15">
        <f>明细表!Q5</f>
        <v>4</v>
      </c>
      <c r="K23" s="16">
        <f>IF(J23="","",明细表!V5)</f>
        <v>58.333333333333336</v>
      </c>
      <c r="L23" s="38">
        <f>IF(J23="","",明细表!S5)</f>
        <v>46205</v>
      </c>
    </row>
    <row r="24" spans="2:12" x14ac:dyDescent="0.3">
      <c r="B24" s="12">
        <f>明细表!A6</f>
        <v>5</v>
      </c>
      <c r="C24" s="13">
        <f>IF(B24="","",明细表!F6)</f>
        <v>18.363859146834873</v>
      </c>
      <c r="D24" s="38">
        <f>IF(B24="","",明细表!C6)</f>
        <v>46245</v>
      </c>
      <c r="F24" s="14">
        <f>明细表!I6</f>
        <v>5</v>
      </c>
      <c r="G24" s="13">
        <f>IF(F24="","",明细表!N6)</f>
        <v>44.669625000000003</v>
      </c>
      <c r="H24" s="38">
        <f>IF(F24="","",明细表!K6)</f>
        <v>46234</v>
      </c>
      <c r="J24" s="15">
        <f>明细表!Q6</f>
        <v>5</v>
      </c>
      <c r="K24" s="16">
        <f>IF(J24="","",明细表!V6)</f>
        <v>58.333333333333336</v>
      </c>
      <c r="L24" s="38">
        <f>IF(J24="","",明细表!S6)</f>
        <v>46236</v>
      </c>
    </row>
    <row r="25" spans="2:12" x14ac:dyDescent="0.3">
      <c r="B25" s="12">
        <f>明细表!A7</f>
        <v>6</v>
      </c>
      <c r="C25" s="13">
        <f>IF(B25="","",明细表!F7)</f>
        <v>16.075063545005818</v>
      </c>
      <c r="D25" s="38">
        <f>IF(B25="","",明细表!C7)</f>
        <v>46276</v>
      </c>
      <c r="F25" s="14">
        <f>明细表!I7</f>
        <v>6</v>
      </c>
      <c r="G25" s="13">
        <f>IF(F25="","",明细表!N7)</f>
        <v>44.669625000000003</v>
      </c>
      <c r="H25" s="38">
        <f>IF(F25="","",明细表!K7)</f>
        <v>46265</v>
      </c>
      <c r="J25" s="15">
        <f>明细表!Q7</f>
        <v>6</v>
      </c>
      <c r="K25" s="16">
        <f>IF(J25="","",明细表!V7)</f>
        <v>58.333333333333336</v>
      </c>
      <c r="L25" s="38">
        <f>IF(J25="","",明细表!S7)</f>
        <v>46267</v>
      </c>
    </row>
    <row r="26" spans="2:12" x14ac:dyDescent="0.3">
      <c r="B26" s="12">
        <f>明细表!A8</f>
        <v>7</v>
      </c>
      <c r="C26" s="13">
        <f>IF(B26="","",明细表!F8)</f>
        <v>13.784360613508579</v>
      </c>
      <c r="D26" s="38">
        <f>IF(B26="","",明细表!C8)</f>
        <v>46306</v>
      </c>
      <c r="F26" s="14">
        <f>明细表!I8</f>
        <v>7</v>
      </c>
      <c r="G26" s="13">
        <f>IF(F26="","",明细表!N8)</f>
        <v>44.669625000000003</v>
      </c>
      <c r="H26" s="38">
        <f>IF(F26="","",明细表!K8)</f>
        <v>46295</v>
      </c>
      <c r="J26" s="15">
        <f>明细表!Q8</f>
        <v>7</v>
      </c>
      <c r="K26" s="16">
        <f>IF(J26="","",明细表!V8)</f>
        <v>43.75</v>
      </c>
      <c r="L26" s="38">
        <f>IF(J26="","",明细表!S8)</f>
        <v>46297</v>
      </c>
    </row>
    <row r="27" spans="2:12" x14ac:dyDescent="0.3">
      <c r="B27" s="12">
        <f>明细表!A9</f>
        <v>8</v>
      </c>
      <c r="C27" s="13">
        <f>IF(B27="","",明细表!F9)</f>
        <v>11.491748762901754</v>
      </c>
      <c r="D27" s="38">
        <f>IF(B27="","",明细表!C9)</f>
        <v>46337</v>
      </c>
      <c r="F27" s="14">
        <f>明细表!I9</f>
        <v>8</v>
      </c>
      <c r="G27" s="13">
        <f>IF(F27="","",明细表!N9)</f>
        <v>44.669625000000003</v>
      </c>
      <c r="H27" s="38">
        <f>IF(F27="","",明细表!K9)</f>
        <v>46326</v>
      </c>
      <c r="J27" s="15">
        <f>明细表!Q9</f>
        <v>8</v>
      </c>
      <c r="K27" s="16">
        <f>IF(J27="","",明细表!V9)</f>
        <v>43.75</v>
      </c>
      <c r="L27" s="38">
        <f>IF(J27="","",明细表!S9)</f>
        <v>46328</v>
      </c>
    </row>
    <row r="28" spans="2:12" x14ac:dyDescent="0.3">
      <c r="B28" s="12">
        <f>明细表!A10</f>
        <v>9</v>
      </c>
      <c r="C28" s="13">
        <f>IF(B28="","",明细表!F10)</f>
        <v>9.1972264024194281</v>
      </c>
      <c r="D28" s="38">
        <f>IF(B28="","",明细表!C10)</f>
        <v>46367</v>
      </c>
      <c r="F28" s="14">
        <f>明细表!I10</f>
        <v>9</v>
      </c>
      <c r="G28" s="13">
        <f>IF(F28="","",明细表!N10)</f>
        <v>44.669625000000003</v>
      </c>
      <c r="H28" s="38">
        <f>IF(F28="","",明细表!K10)</f>
        <v>46356</v>
      </c>
      <c r="J28" s="15">
        <f>明细表!Q10</f>
        <v>9</v>
      </c>
      <c r="K28" s="16">
        <f>IF(J28="","",明细表!V10)</f>
        <v>43.75</v>
      </c>
      <c r="L28" s="38">
        <f>IF(J28="","",明细表!S10)</f>
        <v>46358</v>
      </c>
    </row>
    <row r="29" spans="2:12" x14ac:dyDescent="0.3">
      <c r="B29" s="12">
        <f>明细表!A11</f>
        <v>10</v>
      </c>
      <c r="C29" s="13">
        <f>IF(B29="","",明细表!F11)</f>
        <v>4.6005279599800195</v>
      </c>
      <c r="D29" s="38">
        <f>IF(B29="","",明细表!C11)</f>
        <v>46387</v>
      </c>
      <c r="F29" s="14">
        <f>明细表!I11</f>
        <v>10</v>
      </c>
      <c r="G29" s="13">
        <f>IF(F29="","",明细表!N11)</f>
        <v>44.669625000000003</v>
      </c>
      <c r="H29" s="38">
        <f>IF(F29="","",明细表!K11)</f>
        <v>46387</v>
      </c>
      <c r="J29" s="15">
        <f>明细表!Q11</f>
        <v>10</v>
      </c>
      <c r="K29" s="16">
        <f>IF(J29="","",明细表!V11)</f>
        <v>42.291666666666664</v>
      </c>
      <c r="L29" s="38">
        <f>IF(J29="","",明细表!S11)</f>
        <v>46387</v>
      </c>
    </row>
    <row r="30" spans="2:12" s="19" customFormat="1" x14ac:dyDescent="0.3">
      <c r="B30" s="17" t="str">
        <f>明细表!A12</f>
        <v/>
      </c>
      <c r="C30" s="18" t="str">
        <f>IF(B30="","",明细表!F12)</f>
        <v/>
      </c>
      <c r="D30" s="38" t="str">
        <f>IF(B30="","",明细表!C12)</f>
        <v/>
      </c>
      <c r="F30" s="20" t="str">
        <f>明细表!I12</f>
        <v/>
      </c>
      <c r="G30" s="18" t="str">
        <f>IF(F30="","",明细表!N12)</f>
        <v/>
      </c>
      <c r="H30" s="38" t="str">
        <f>IF(F30="","",明细表!K12)</f>
        <v/>
      </c>
      <c r="J30" s="21" t="str">
        <f>明细表!Q12</f>
        <v/>
      </c>
      <c r="K30" s="22" t="str">
        <f>IF(J30="","",明细表!V12)</f>
        <v/>
      </c>
      <c r="L30" s="38" t="str">
        <f>IF(J30="","",明细表!S12)</f>
        <v/>
      </c>
    </row>
    <row r="31" spans="2:12" s="19" customFormat="1" x14ac:dyDescent="0.3">
      <c r="B31" s="17" t="str">
        <f>明细表!A13</f>
        <v/>
      </c>
      <c r="C31" s="18" t="str">
        <f>IF(B31="","",明细表!F13)</f>
        <v/>
      </c>
      <c r="D31" s="38" t="str">
        <f>IF(B31="","",明细表!C13)</f>
        <v/>
      </c>
      <c r="F31" s="20" t="str">
        <f>明细表!I13</f>
        <v/>
      </c>
      <c r="G31" s="18" t="str">
        <f>IF(F31="","",明细表!N13)</f>
        <v/>
      </c>
      <c r="H31" s="38" t="str">
        <f>IF(F31="","",明细表!K13)</f>
        <v/>
      </c>
      <c r="J31" s="21" t="str">
        <f>明细表!Q13</f>
        <v/>
      </c>
      <c r="K31" s="22" t="str">
        <f>IF(J31="","",明细表!V13)</f>
        <v/>
      </c>
      <c r="L31" s="38" t="str">
        <f>IF(J31="","",明细表!S13)</f>
        <v/>
      </c>
    </row>
  </sheetData>
  <sheetProtection algorithmName="SHA-512" hashValue="bSENHFPG9IU3fWdmnAyGBUJmxTlIu/9G+N3ZPd11Tqhkxd8PUPxh2OvccwOYocvcA2V3IIf0VNVI7nOGbF+rzg==" saltValue="r1pu0noHFeguhMgdAA3jMg==" spinCount="100000" sheet="1" objects="1" scenarios="1"/>
  <mergeCells count="13">
    <mergeCell ref="J7:K7"/>
    <mergeCell ref="J18:K18"/>
    <mergeCell ref="J12:J13"/>
    <mergeCell ref="K12:K13"/>
    <mergeCell ref="B1:G1"/>
    <mergeCell ref="D2:G2"/>
    <mergeCell ref="D3:G3"/>
    <mergeCell ref="B5:E5"/>
    <mergeCell ref="D15:E15"/>
    <mergeCell ref="B7:C7"/>
    <mergeCell ref="B18:C18"/>
    <mergeCell ref="F7:G7"/>
    <mergeCell ref="F18:G18"/>
  </mergeCells>
  <phoneticPr fontId="2" type="noConversion"/>
  <conditionalFormatting sqref="C15:C16">
    <cfRule type="expression" dxfId="3" priority="6">
      <formula>$C$15&gt;3000</formula>
    </cfRule>
  </conditionalFormatting>
  <conditionalFormatting sqref="D15:D16">
    <cfRule type="expression" dxfId="2" priority="5">
      <formula>$C$15&gt;3000</formula>
    </cfRule>
  </conditionalFormatting>
  <conditionalFormatting sqref="G16">
    <cfRule type="expression" dxfId="1" priority="2">
      <formula>$C$15&gt;3000</formula>
    </cfRule>
  </conditionalFormatting>
  <conditionalFormatting sqref="K16">
    <cfRule type="expression" dxfId="0" priority="1">
      <formula>$C$15&gt;3000</formula>
    </cfRule>
  </conditionalFormatting>
  <dataValidations count="1">
    <dataValidation type="list" allowBlank="1" showInputMessage="1" showErrorMessage="1" sqref="C9" xr:uid="{2D0E30A5-5EEE-44CE-A1DD-57BDD1497D5A}">
      <formula1>"12,18,24,36,48,60"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0088-9926-42C4-BCA7-2751370F772B}">
  <dimension ref="A1:V19"/>
  <sheetViews>
    <sheetView showGridLines="0" workbookViewId="0">
      <selection activeCell="N2" sqref="N2"/>
    </sheetView>
  </sheetViews>
  <sheetFormatPr defaultRowHeight="14" x14ac:dyDescent="0.3"/>
  <cols>
    <col min="1" max="1" width="5.33203125" customWidth="1"/>
    <col min="2" max="2" width="11.4140625" bestFit="1" customWidth="1"/>
    <col min="3" max="3" width="11.1640625" customWidth="1"/>
    <col min="5" max="5" width="13.83203125" bestFit="1" customWidth="1"/>
    <col min="6" max="6" width="11.75" bestFit="1" customWidth="1"/>
    <col min="10" max="10" width="11.4140625" bestFit="1" customWidth="1"/>
    <col min="11" max="11" width="10.58203125" bestFit="1" customWidth="1"/>
    <col min="18" max="18" width="11.4140625" bestFit="1" customWidth="1"/>
    <col min="19" max="19" width="10.58203125" bestFit="1" customWidth="1"/>
  </cols>
  <sheetData>
    <row r="1" spans="1:22" ht="36" x14ac:dyDescent="0.3">
      <c r="A1" s="1" t="s">
        <v>5</v>
      </c>
      <c r="B1" s="3" t="s">
        <v>6</v>
      </c>
      <c r="C1" s="4" t="s">
        <v>7</v>
      </c>
      <c r="D1" s="5" t="s">
        <v>8</v>
      </c>
      <c r="E1" s="5" t="s">
        <v>9</v>
      </c>
      <c r="F1" s="5" t="s">
        <v>10</v>
      </c>
      <c r="I1" s="8" t="s">
        <v>15</v>
      </c>
      <c r="J1" s="3" t="s">
        <v>6</v>
      </c>
      <c r="K1" s="4" t="s">
        <v>7</v>
      </c>
      <c r="L1" s="5" t="s">
        <v>8</v>
      </c>
      <c r="M1" s="1" t="s">
        <v>9</v>
      </c>
      <c r="N1" s="1" t="s">
        <v>10</v>
      </c>
      <c r="Q1" s="8" t="s">
        <v>16</v>
      </c>
      <c r="R1" s="3" t="s">
        <v>6</v>
      </c>
      <c r="S1" s="4" t="s">
        <v>7</v>
      </c>
      <c r="T1" s="5" t="s">
        <v>8</v>
      </c>
      <c r="U1" s="1" t="s">
        <v>9</v>
      </c>
      <c r="V1" s="1" t="s">
        <v>10</v>
      </c>
    </row>
    <row r="2" spans="1:22" x14ac:dyDescent="0.3">
      <c r="A2">
        <f>IF(ROW()-1&gt;MIN(DATEDIF(财政贴息试算!$C$11,财政贴息试算!$C$3,"m")+1,财政贴息试算!$C$9),"",ROW()-1)</f>
        <v>1</v>
      </c>
      <c r="B2" s="6">
        <f>IF(A2="","",EDATE(财政贴息试算!$C$11,A2-1))</f>
        <v>46093</v>
      </c>
      <c r="C2" s="2">
        <f>IF(A2="","",MIN(EDATE(财政贴息试算!$C$11,A2)-1,财政贴息试算!$C$3))</f>
        <v>46123</v>
      </c>
      <c r="D2">
        <f>IF(A2="","",DATEDIF(B2,C2,"d")+1)</f>
        <v>31</v>
      </c>
      <c r="E2">
        <f>IF(A2="","",财政贴息试算!C8)</f>
        <v>33000</v>
      </c>
      <c r="F2" s="7">
        <f>IF(D2&gt;=30,E2*财政贴息试算!$D$10*30/360,E2*财政贴息试算!$D$10*明细表!D2/360)</f>
        <v>27.5</v>
      </c>
      <c r="I2">
        <f>IF(ROW()-1&gt;MIN(DATEDIF(财政贴息试算!$G$11,财政贴息试算!$C$3,"m")+1,财政贴息试算!$G$9),"",ROW()-1)</f>
        <v>1</v>
      </c>
      <c r="J2" s="2">
        <f>IF(I2="","",EDATE(财政贴息试算!$G$11,I2-1))</f>
        <v>46082</v>
      </c>
      <c r="K2" s="2">
        <f>IF(I2="","",MIN(EDATE(财政贴息试算!$G$11,I2)-1,财政贴息试算!$C$3))</f>
        <v>46112</v>
      </c>
      <c r="L2">
        <f>IF(I2="","",DATEDIF(J2,K2,"d")+1)</f>
        <v>31</v>
      </c>
      <c r="M2">
        <f>IF(I2="","",财政贴息试算!$G$8)</f>
        <v>54145</v>
      </c>
      <c r="N2" s="7">
        <f>IF(L2&gt;=30,M2*财政贴息试算!$H$10*30/360,M2*财政贴息试算!$H$10*明细表!L2/360)</f>
        <v>44.669625000000003</v>
      </c>
      <c r="Q2">
        <f>IF(ROW()-1&gt;MIN(DATEDIF(财政贴息试算!$K$11,财政贴息试算!$C$3,"m")+1,财政贴息试算!$NF$9),"",ROW()-1)</f>
        <v>1</v>
      </c>
      <c r="R2" s="2">
        <f>IF(Q2="","",EDATE(财政贴息试算!$K$11,Q2-1))</f>
        <v>46084</v>
      </c>
      <c r="S2" s="2">
        <f>IF(Q2="","",MIN(EDATE(财政贴息试算!$K$11,Q2)-1,财政贴息试算!$C$3))</f>
        <v>46114</v>
      </c>
      <c r="T2">
        <f>IF(Q2="","",DATEDIF(R2,S2,"d")+1)</f>
        <v>31</v>
      </c>
      <c r="U2">
        <f>IF(Q2="","",财政贴息试算!$K$8)</f>
        <v>70000</v>
      </c>
      <c r="V2" s="7">
        <f>IF(T2&gt;=30,U2*财政贴息试算!$C$2*30/360,U2*财政贴息试算!$C$2*明细表!T2/360)</f>
        <v>58.333333333333336</v>
      </c>
    </row>
    <row r="3" spans="1:22" x14ac:dyDescent="0.3">
      <c r="A3">
        <f>IF(ROW()-1&gt;MIN(DATEDIF(财政贴息试算!$C$11,财政贴息试算!$C$3,"m")+1,财政贴息试算!$C$9),"",ROW()-1)</f>
        <v>2</v>
      </c>
      <c r="B3" s="6">
        <f>IF(A3="","",EDATE(财政贴息试算!$C$11,A3-1))</f>
        <v>46124</v>
      </c>
      <c r="C3" s="2">
        <f>IF(A3="","",MIN(EDATE(财政贴息试算!$C$11,A3)-1,财政贴息试算!$C$3))</f>
        <v>46153</v>
      </c>
      <c r="D3">
        <f t="shared" ref="D3:D11" si="0">IF(A3="","",DATEDIF(B3,C3,"d")+1)</f>
        <v>30</v>
      </c>
      <c r="E3" s="7">
        <f>IF(A3="","",E2*(1+财政贴息试算!$C$10/12)-财政贴息试算!$C$8*(财政贴息试算!$C$10/12)*(1+财政贴息试算!$C$10/12)^财政贴息试算!$C$9/((1+财政贴息试算!$C$10/12)^财政贴息试算!$C$9-1))</f>
        <v>30262.581418658305</v>
      </c>
      <c r="F3" s="7">
        <f>IF(D3&gt;=30,E3*财政贴息试算!$D$10*30/360,E3*财政贴息试算!$D$10*明细表!D3/360)</f>
        <v>25.218817848881923</v>
      </c>
      <c r="I3">
        <f>IF(ROW()-1&gt;MIN(DATEDIF(财政贴息试算!$G$11,财政贴息试算!$C$3,"m")+1,财政贴息试算!$G$9),"",ROW()-1)</f>
        <v>2</v>
      </c>
      <c r="J3" s="2">
        <f>IF(I3="","",EDATE(财政贴息试算!$G$11,I3-1))</f>
        <v>46113</v>
      </c>
      <c r="K3" s="2">
        <f>IF(I3="","",MIN(EDATE(财政贴息试算!$G$11,I3)-1,财政贴息试算!$C$3))</f>
        <v>46142</v>
      </c>
      <c r="L3">
        <f t="shared" ref="L3:L13" si="1">IF(I3="","",DATEDIF(J3,K3,"d")+1)</f>
        <v>30</v>
      </c>
      <c r="M3">
        <f>IF(I3="","",财政贴息试算!$G$8)</f>
        <v>54145</v>
      </c>
      <c r="N3" s="7">
        <f>IF(L3&gt;=30,M3*财政贴息试算!$H$10*30/360,M3*财政贴息试算!$H$10*明细表!L3/360)</f>
        <v>44.669625000000003</v>
      </c>
      <c r="Q3">
        <f>IF(ROW()-1&gt;MIN(DATEDIF(财政贴息试算!$K$11,财政贴息试算!$C$3,"m")+1,财政贴息试算!$NF$9),"",ROW()-1)</f>
        <v>2</v>
      </c>
      <c r="R3" s="2">
        <f>IF(Q3="","",EDATE(财政贴息试算!$K$11,Q3-1))</f>
        <v>46115</v>
      </c>
      <c r="S3" s="2">
        <f>IF(Q3="","",MIN(EDATE(财政贴息试算!$K$11,Q3)-1,财政贴息试算!$C$3))</f>
        <v>46144</v>
      </c>
      <c r="T3">
        <f t="shared" ref="T3:T11" si="2">IF(Q3="","",DATEDIF(R3,S3,"d")+1)</f>
        <v>30</v>
      </c>
      <c r="U3">
        <f>IF(Q3="","",财政贴息试算!$K$8)</f>
        <v>70000</v>
      </c>
      <c r="V3" s="7">
        <f>IF(T3&gt;=30,U3*财政贴息试算!$C$2*30/360,U3*财政贴息试算!$C$2*明细表!T3/360)</f>
        <v>58.333333333333336</v>
      </c>
    </row>
    <row r="4" spans="1:22" x14ac:dyDescent="0.3">
      <c r="A4">
        <f>IF(ROW()-1&gt;MIN(DATEDIF(财政贴息试算!$C$11,财政贴息试算!$C$3,"m")+1,财政贴息试算!$C$9),"",ROW()-1)</f>
        <v>3</v>
      </c>
      <c r="B4" s="6">
        <f>IF(A4="","",EDATE(财政贴息试算!$C$11,A4-1))</f>
        <v>46154</v>
      </c>
      <c r="C4" s="2">
        <f>IF(A4="","",MIN(EDATE(财政贴息试算!$C$11,A4)-1,财政贴息试算!$C$3))</f>
        <v>46184</v>
      </c>
      <c r="D4">
        <f t="shared" si="0"/>
        <v>31</v>
      </c>
      <c r="E4" s="7">
        <f>IF(A4="","",E3*(1+财政贴息试算!$C$10/12)-财政贴息试算!$C$8*(财政贴息试算!$C$10/12)*(1+财政贴息试算!$C$10/12)^财政贴息试算!$C$9/((1+财政贴息试算!$C$10/12)^财政贴息试算!$C$9-1))</f>
        <v>27522.881655165489</v>
      </c>
      <c r="F4" s="7">
        <f>IF(D4&gt;=30,E4*财政贴息试算!$D$10*30/360,E4*财政贴息试算!$D$10*明细表!D4/360)</f>
        <v>22.93573471263791</v>
      </c>
      <c r="I4">
        <f>IF(ROW()-1&gt;MIN(DATEDIF(财政贴息试算!$G$11,财政贴息试算!$C$3,"m")+1,财政贴息试算!$G$9),"",ROW()-1)</f>
        <v>3</v>
      </c>
      <c r="J4" s="2">
        <f>IF(I4="","",EDATE(财政贴息试算!$G$11,I4-1))</f>
        <v>46143</v>
      </c>
      <c r="K4" s="2">
        <f>IF(I4="","",MIN(EDATE(财政贴息试算!$G$11,I4)-1,财政贴息试算!$C$3))</f>
        <v>46173</v>
      </c>
      <c r="L4">
        <f t="shared" si="1"/>
        <v>31</v>
      </c>
      <c r="M4">
        <f>IF(I4="","",财政贴息试算!$G$8)</f>
        <v>54145</v>
      </c>
      <c r="N4" s="7">
        <f>IF(L4&gt;=30,M4*财政贴息试算!$H$10*30/360,M4*财政贴息试算!$H$10*明细表!L4/360)</f>
        <v>44.669625000000003</v>
      </c>
      <c r="Q4">
        <f>IF(ROW()-1&gt;MIN(DATEDIF(财政贴息试算!$K$11,财政贴息试算!$C$3,"m")+1,财政贴息试算!$NF$9),"",ROW()-1)</f>
        <v>3</v>
      </c>
      <c r="R4" s="2">
        <f>IF(Q4="","",EDATE(财政贴息试算!$K$11,Q4-1))</f>
        <v>46145</v>
      </c>
      <c r="S4" s="2">
        <f>IF(Q4="","",MIN(EDATE(财政贴息试算!$K$11,Q4)-1,财政贴息试算!$C$3))</f>
        <v>46175</v>
      </c>
      <c r="T4">
        <f t="shared" si="2"/>
        <v>31</v>
      </c>
      <c r="U4">
        <f>IF(Q4="","",财政贴息试算!$K$8)</f>
        <v>70000</v>
      </c>
      <c r="V4" s="7">
        <f>IF(T4&gt;=30,U4*财政贴息试算!$C$2*30/360,U4*财政贴息试算!$C$2*明细表!T4/360)</f>
        <v>58.333333333333336</v>
      </c>
    </row>
    <row r="5" spans="1:22" x14ac:dyDescent="0.3">
      <c r="A5">
        <f>IF(ROW()-1&gt;MIN(DATEDIF(财政贴息试算!$C$11,财政贴息试算!$C$3,"m")+1,财政贴息试算!$C$9),"",ROW()-1)</f>
        <v>4</v>
      </c>
      <c r="B5" s="6">
        <f>IF(A5="","",EDATE(财政贴息试算!$C$11,A5-1))</f>
        <v>46185</v>
      </c>
      <c r="C5" s="2">
        <f>IF(A5="","",MIN(EDATE(财政贴息试算!$C$11,A5)-1,财政贴息试算!$C$3))</f>
        <v>46214</v>
      </c>
      <c r="D5">
        <f t="shared" si="0"/>
        <v>30</v>
      </c>
      <c r="E5" s="7">
        <f>IF(A5="","",E4*(1+财政贴息试算!$C$10/12)-财政贴息试算!$C$8*(财政贴息试算!$C$10/12)*(1+财政贴息试算!$C$10/12)^财政贴息试算!$C$9/((1+财政贴息试算!$C$10/12)^财政贴息试算!$C$9-1))</f>
        <v>24780.898808536429</v>
      </c>
      <c r="F5" s="7">
        <f>IF(D5&gt;=30,E5*财政贴息试算!$D$10*30/360,E5*财政贴息试算!$D$10*明细表!D5/360)</f>
        <v>20.650749007113689</v>
      </c>
      <c r="I5">
        <f>IF(ROW()-1&gt;MIN(DATEDIF(财政贴息试算!$G$11,财政贴息试算!$C$3,"m")+1,财政贴息试算!$G$9),"",ROW()-1)</f>
        <v>4</v>
      </c>
      <c r="J5" s="2">
        <f>IF(I5="","",EDATE(财政贴息试算!$G$11,I5-1))</f>
        <v>46174</v>
      </c>
      <c r="K5" s="2">
        <f>IF(I5="","",MIN(EDATE(财政贴息试算!$G$11,I5)-1,财政贴息试算!$C$3))</f>
        <v>46203</v>
      </c>
      <c r="L5">
        <f t="shared" si="1"/>
        <v>30</v>
      </c>
      <c r="M5">
        <f>IF(I5="","",财政贴息试算!$G$8)</f>
        <v>54145</v>
      </c>
      <c r="N5" s="7">
        <f>IF(L5&gt;=30,M5*财政贴息试算!$H$10*30/360,M5*财政贴息试算!$H$10*明细表!L5/360)</f>
        <v>44.669625000000003</v>
      </c>
      <c r="Q5">
        <f>IF(ROW()-1&gt;MIN(DATEDIF(财政贴息试算!$K$11,财政贴息试算!$C$3,"m")+1,财政贴息试算!$NF$9),"",ROW()-1)</f>
        <v>4</v>
      </c>
      <c r="R5" s="2">
        <f>IF(Q5="","",EDATE(财政贴息试算!$K$11,Q5-1))</f>
        <v>46176</v>
      </c>
      <c r="S5" s="2">
        <f>IF(Q5="","",MIN(EDATE(财政贴息试算!$K$11,Q5)-1,财政贴息试算!$C$3))</f>
        <v>46205</v>
      </c>
      <c r="T5">
        <f t="shared" si="2"/>
        <v>30</v>
      </c>
      <c r="U5">
        <f>IF(Q5="","",财政贴息试算!$K$8)</f>
        <v>70000</v>
      </c>
      <c r="V5" s="7">
        <f>IF(T5&gt;=30,U5*财政贴息试算!$C$2*30/360,U5*财政贴息试算!$C$2*明细表!T5/360)</f>
        <v>58.333333333333336</v>
      </c>
    </row>
    <row r="6" spans="1:22" x14ac:dyDescent="0.3">
      <c r="A6">
        <f>IF(ROW()-1&gt;MIN(DATEDIF(财政贴息试算!$C$11,财政贴息试算!$C$3,"m")+1,财政贴息试算!$C$9),"",ROW()-1)</f>
        <v>5</v>
      </c>
      <c r="B6" s="6">
        <f>IF(A6="","",EDATE(财政贴息试算!$C$11,A6-1))</f>
        <v>46215</v>
      </c>
      <c r="C6" s="2">
        <f>IF(A6="","",MIN(EDATE(财政贴息试算!$C$11,A6)-1,财政贴息试算!$C$3))</f>
        <v>46245</v>
      </c>
      <c r="D6">
        <f t="shared" si="0"/>
        <v>31</v>
      </c>
      <c r="E6" s="7">
        <f>IF(A6="","",E5*(1+财政贴息试算!$C$10/12)-财政贴息试算!$C$8*(财政贴息试算!$C$10/12)*(1+财政贴息试算!$C$10/12)^财政贴息试算!$C$9/((1+财政贴息试算!$C$10/12)^财政贴息试算!$C$9-1))</f>
        <v>22036.630976201846</v>
      </c>
      <c r="F6" s="7">
        <f>IF(D6&gt;=30,E6*财政贴息试算!$D$10*30/360,E6*财政贴息试算!$D$10*明细表!D6/360)</f>
        <v>18.363859146834873</v>
      </c>
      <c r="I6">
        <f>IF(ROW()-1&gt;MIN(DATEDIF(财政贴息试算!$G$11,财政贴息试算!$C$3,"m")+1,财政贴息试算!$G$9),"",ROW()-1)</f>
        <v>5</v>
      </c>
      <c r="J6" s="2">
        <f>IF(I6="","",EDATE(财政贴息试算!$G$11,I6-1))</f>
        <v>46204</v>
      </c>
      <c r="K6" s="2">
        <f>IF(I6="","",MIN(EDATE(财政贴息试算!$G$11,I6)-1,财政贴息试算!$C$3))</f>
        <v>46234</v>
      </c>
      <c r="L6">
        <f t="shared" si="1"/>
        <v>31</v>
      </c>
      <c r="M6">
        <f>IF(I6="","",财政贴息试算!$G$8)</f>
        <v>54145</v>
      </c>
      <c r="N6" s="7">
        <f>IF(L6&gt;=30,M6*财政贴息试算!$H$10*30/360,M6*财政贴息试算!$H$10*明细表!L6/360)</f>
        <v>44.669625000000003</v>
      </c>
      <c r="Q6">
        <f>IF(ROW()-1&gt;MIN(DATEDIF(财政贴息试算!$K$11,财政贴息试算!$C$3,"m")+1,财政贴息试算!$NF$9),"",ROW()-1)</f>
        <v>5</v>
      </c>
      <c r="R6" s="2">
        <f>IF(Q6="","",EDATE(财政贴息试算!$K$11,Q6-1))</f>
        <v>46206</v>
      </c>
      <c r="S6" s="2">
        <f>IF(Q6="","",MIN(EDATE(财政贴息试算!$K$11,Q6)-1,财政贴息试算!$C$3))</f>
        <v>46236</v>
      </c>
      <c r="T6">
        <f t="shared" si="2"/>
        <v>31</v>
      </c>
      <c r="U6">
        <f>IF(Q6="","",财政贴息试算!$K$8)</f>
        <v>70000</v>
      </c>
      <c r="V6" s="7">
        <f>IF(T6&gt;=30,U6*财政贴息试算!$C$2*30/360,U6*财政贴息试算!$C$2*明细表!T6/360)</f>
        <v>58.333333333333336</v>
      </c>
    </row>
    <row r="7" spans="1:22" x14ac:dyDescent="0.3">
      <c r="A7">
        <f>IF(ROW()-1&gt;MIN(DATEDIF(财政贴息试算!$C$11,财政贴息试算!$C$3,"m")+1,财政贴息试算!$C$9),"",ROW()-1)</f>
        <v>6</v>
      </c>
      <c r="B7" s="6">
        <f>IF(A7="","",EDATE(财政贴息试算!$C$11,A7-1))</f>
        <v>46246</v>
      </c>
      <c r="C7" s="2">
        <f>IF(A7="","",MIN(EDATE(财政贴息试算!$C$11,A7)-1,财政贴息试算!$C$3))</f>
        <v>46276</v>
      </c>
      <c r="D7">
        <f t="shared" si="0"/>
        <v>31</v>
      </c>
      <c r="E7" s="7">
        <f>IF(A7="","",E6*(1+财政贴息试算!$C$10/12)-财政贴息试算!$C$8*(财政贴息试算!$C$10/12)*(1+财政贴息试算!$C$10/12)^财政贴息试算!$C$9/((1+财政贴息试算!$C$10/12)^财政贴息试算!$C$9-1))</f>
        <v>19290.076254006985</v>
      </c>
      <c r="F7" s="7">
        <f>IF(D7&gt;=30,E7*财政贴息试算!$D$10*30/360,E7*财政贴息试算!$D$10*明细表!D7/360)</f>
        <v>16.075063545005818</v>
      </c>
      <c r="I7">
        <f>IF(ROW()-1&gt;MIN(DATEDIF(财政贴息试算!$G$11,财政贴息试算!$C$3,"m")+1,财政贴息试算!$G$9),"",ROW()-1)</f>
        <v>6</v>
      </c>
      <c r="J7" s="2">
        <f>IF(I7="","",EDATE(财政贴息试算!$G$11,I7-1))</f>
        <v>46235</v>
      </c>
      <c r="K7" s="2">
        <f>IF(I7="","",MIN(EDATE(财政贴息试算!$G$11,I7)-1,财政贴息试算!$C$3))</f>
        <v>46265</v>
      </c>
      <c r="L7">
        <f t="shared" si="1"/>
        <v>31</v>
      </c>
      <c r="M7">
        <f>IF(I7="","",财政贴息试算!$G$8)</f>
        <v>54145</v>
      </c>
      <c r="N7" s="7">
        <f>IF(L7&gt;=30,M7*财政贴息试算!$H$10*30/360,M7*财政贴息试算!$H$10*明细表!L7/360)</f>
        <v>44.669625000000003</v>
      </c>
      <c r="Q7">
        <f>IF(ROW()-1&gt;MIN(DATEDIF(财政贴息试算!$K$11,财政贴息试算!$C$3,"m")+1,财政贴息试算!$NF$9),"",ROW()-1)</f>
        <v>6</v>
      </c>
      <c r="R7" s="2">
        <f>IF(Q7="","",EDATE(财政贴息试算!$K$11,Q7-1))</f>
        <v>46237</v>
      </c>
      <c r="S7" s="2">
        <f>IF(Q7="","",MIN(EDATE(财政贴息试算!$K$11,Q7)-1,财政贴息试算!$C$3))</f>
        <v>46267</v>
      </c>
      <c r="T7">
        <f t="shared" si="2"/>
        <v>31</v>
      </c>
      <c r="U7">
        <f>IF(Q7="","",财政贴息试算!$K$8)</f>
        <v>70000</v>
      </c>
      <c r="V7" s="7">
        <f>IF(T7&gt;=30,U7*财政贴息试算!$C$2*30/360,U7*财政贴息试算!$C$2*明细表!T7/360)</f>
        <v>58.333333333333336</v>
      </c>
    </row>
    <row r="8" spans="1:22" x14ac:dyDescent="0.3">
      <c r="A8">
        <f>IF(ROW()-1&gt;MIN(DATEDIF(财政贴息试算!$C$11,财政贴息试算!$C$3,"m")+1,财政贴息试算!$C$9),"",ROW()-1)</f>
        <v>7</v>
      </c>
      <c r="B8" s="6">
        <f>IF(A8="","",EDATE(财政贴息试算!$C$11,A8-1))</f>
        <v>46277</v>
      </c>
      <c r="C8" s="2">
        <f>IF(A8="","",MIN(EDATE(财政贴息试算!$C$11,A8)-1,财政贴息试算!$C$3))</f>
        <v>46306</v>
      </c>
      <c r="D8">
        <f t="shared" si="0"/>
        <v>30</v>
      </c>
      <c r="E8" s="7">
        <f>IF(A8="","",E7*(1+财政贴息试算!$C$10/12)-财政贴息试算!$C$8*(财政贴息试算!$C$10/12)*(1+财政贴息试算!$C$10/12)^财政贴息试算!$C$9/((1+财政贴息试算!$C$10/12)^财政贴息试算!$C$9-1))</f>
        <v>16541.232736210295</v>
      </c>
      <c r="F8" s="7">
        <f>IF(D8&gt;=30,E8*财政贴息试算!$D$10*30/360,E8*财政贴息试算!$D$10*明细表!D8/360)</f>
        <v>13.784360613508579</v>
      </c>
      <c r="I8">
        <f>IF(ROW()-1&gt;MIN(DATEDIF(财政贴息试算!$G$11,财政贴息试算!$C$3,"m")+1,财政贴息试算!$G$9),"",ROW()-1)</f>
        <v>7</v>
      </c>
      <c r="J8" s="2">
        <f>IF(I8="","",EDATE(财政贴息试算!$G$11,I8-1))</f>
        <v>46266</v>
      </c>
      <c r="K8" s="2">
        <f>IF(I8="","",MIN(EDATE(财政贴息试算!$G$11,I8)-1,财政贴息试算!$C$3))</f>
        <v>46295</v>
      </c>
      <c r="L8">
        <f t="shared" si="1"/>
        <v>30</v>
      </c>
      <c r="M8">
        <f>IF(I8="","",财政贴息试算!$G$8)</f>
        <v>54145</v>
      </c>
      <c r="N8" s="7">
        <f>IF(L8&gt;=30,M8*财政贴息试算!$H$10*30/360,M8*财政贴息试算!$H$10*明细表!L8/360)</f>
        <v>44.669625000000003</v>
      </c>
      <c r="Q8">
        <f>IF(ROW()-1&gt;MIN(DATEDIF(财政贴息试算!$K$11,财政贴息试算!$C$3,"m")+1,财政贴息试算!$NF$9),"",ROW()-1)</f>
        <v>7</v>
      </c>
      <c r="R8" s="2">
        <f>IF(Q8="","",EDATE(财政贴息试算!$K$11,Q8-1))</f>
        <v>46268</v>
      </c>
      <c r="S8" s="2">
        <f>IF(Q8="","",MIN(EDATE(财政贴息试算!$K$11,Q8)-1,财政贴息试算!$C$3))</f>
        <v>46297</v>
      </c>
      <c r="T8">
        <f t="shared" si="2"/>
        <v>30</v>
      </c>
      <c r="U8">
        <f>IF(Q8="","",财政贴息试算!$K$8-财政贴息试算!$K$8*25%)</f>
        <v>52500</v>
      </c>
      <c r="V8" s="7">
        <f>IF(T8&gt;=30,U8*财政贴息试算!$C$2*30/360,U8*财政贴息试算!$C$2*明细表!T8/360)</f>
        <v>43.75</v>
      </c>
    </row>
    <row r="9" spans="1:22" x14ac:dyDescent="0.3">
      <c r="A9">
        <f>IF(ROW()-1&gt;MIN(DATEDIF(财政贴息试算!$C$11,财政贴息试算!$C$3,"m")+1,财政贴息试算!$C$9),"",ROW()-1)</f>
        <v>8</v>
      </c>
      <c r="B9" s="6">
        <f>IF(A9="","",EDATE(财政贴息试算!$C$11,A9-1))</f>
        <v>46307</v>
      </c>
      <c r="C9" s="2">
        <f>IF(A9="","",MIN(EDATE(财政贴息试算!$C$11,A9)-1,财政贴息试算!$C$3))</f>
        <v>46337</v>
      </c>
      <c r="D9">
        <f t="shared" si="0"/>
        <v>31</v>
      </c>
      <c r="E9" s="7">
        <f>IF(A9="","",E8*(1+财政贴息试算!$C$10/12)-财政贴息试算!$C$8*(财政贴息试算!$C$10/12)*(1+财政贴息试算!$C$10/12)^财政贴息试算!$C$9/((1+财政贴息试算!$C$10/12)^财政贴息试算!$C$9-1))</f>
        <v>13790.098515482106</v>
      </c>
      <c r="F9" s="7">
        <f>IF(D9&gt;=30,E9*财政贴息试算!$D$10*30/360,E9*财政贴息试算!$D$10*明细表!D9/360)</f>
        <v>11.491748762901754</v>
      </c>
      <c r="I9">
        <f>IF(ROW()-1&gt;MIN(DATEDIF(财政贴息试算!$G$11,财政贴息试算!$C$3,"m")+1,财政贴息试算!$G$9),"",ROW()-1)</f>
        <v>8</v>
      </c>
      <c r="J9" s="2">
        <f>IF(I9="","",EDATE(财政贴息试算!$G$11,I9-1))</f>
        <v>46296</v>
      </c>
      <c r="K9" s="2">
        <f>IF(I9="","",MIN(EDATE(财政贴息试算!$G$11,I9)-1,财政贴息试算!$C$3))</f>
        <v>46326</v>
      </c>
      <c r="L9">
        <f t="shared" si="1"/>
        <v>31</v>
      </c>
      <c r="M9">
        <f>IF(I9="","",财政贴息试算!$G$8)</f>
        <v>54145</v>
      </c>
      <c r="N9" s="7">
        <f>IF(L9&gt;=30,M9*财政贴息试算!$H$10*30/360,M9*财政贴息试算!$H$10*明细表!L9/360)</f>
        <v>44.669625000000003</v>
      </c>
      <c r="Q9">
        <f>IF(ROW()-1&gt;MIN(DATEDIF(财政贴息试算!$K$11,财政贴息试算!$C$3,"m")+1,财政贴息试算!$NF$9),"",ROW()-1)</f>
        <v>8</v>
      </c>
      <c r="R9" s="2">
        <f>IF(Q9="","",EDATE(财政贴息试算!$K$11,Q9-1))</f>
        <v>46298</v>
      </c>
      <c r="S9" s="2">
        <f>IF(Q9="","",MIN(EDATE(财政贴息试算!$K$11,Q9)-1,财政贴息试算!$C$3))</f>
        <v>46328</v>
      </c>
      <c r="T9">
        <f t="shared" si="2"/>
        <v>31</v>
      </c>
      <c r="U9">
        <f>IF(Q9="","",财政贴息试算!$K$8-财政贴息试算!$K$8*25%)</f>
        <v>52500</v>
      </c>
      <c r="V9" s="7">
        <f>IF(T9&gt;=30,U9*财政贴息试算!$C$2*30/360,U9*财政贴息试算!$C$2*明细表!T9/360)</f>
        <v>43.75</v>
      </c>
    </row>
    <row r="10" spans="1:22" x14ac:dyDescent="0.3">
      <c r="A10">
        <f>IF(ROW()-1&gt;MIN(DATEDIF(财政贴息试算!$C$11,财政贴息试算!$C$3,"m")+1,财政贴息试算!$C$9),"",ROW()-1)</f>
        <v>9</v>
      </c>
      <c r="B10" s="6">
        <f>IF(A10="","",EDATE(财政贴息试算!$C$11,A10-1))</f>
        <v>46338</v>
      </c>
      <c r="C10" s="2">
        <f>IF(A10="","",MIN(EDATE(财政贴息试算!$C$11,A10)-1,财政贴息试算!$C$3))</f>
        <v>46367</v>
      </c>
      <c r="D10">
        <f t="shared" si="0"/>
        <v>30</v>
      </c>
      <c r="E10" s="7">
        <f>IF(A10="","",E9*(1+财政贴息试算!$C$10/12)-财政贴息试算!$C$8*(财政贴息试算!$C$10/12)*(1+财政贴息试算!$C$10/12)^财政贴息试算!$C$9/((1+财政贴息试算!$C$10/12)^财政贴息试算!$C$9-1))</f>
        <v>11036.671682903312</v>
      </c>
      <c r="F10" s="7">
        <f>IF(D10&gt;=30,E10*财政贴息试算!$D$10*30/360,E10*财政贴息试算!$D$10*明细表!D10/360)</f>
        <v>9.1972264024194281</v>
      </c>
      <c r="I10">
        <f>IF(ROW()-1&gt;MIN(DATEDIF(财政贴息试算!$G$11,财政贴息试算!$C$3,"m")+1,财政贴息试算!$G$9),"",ROW()-1)</f>
        <v>9</v>
      </c>
      <c r="J10" s="2">
        <f>IF(I10="","",EDATE(财政贴息试算!$G$11,I10-1))</f>
        <v>46327</v>
      </c>
      <c r="K10" s="2">
        <f>IF(I10="","",MIN(EDATE(财政贴息试算!$G$11,I10)-1,财政贴息试算!$C$3))</f>
        <v>46356</v>
      </c>
      <c r="L10">
        <f t="shared" si="1"/>
        <v>30</v>
      </c>
      <c r="M10">
        <f>IF(I10="","",财政贴息试算!$G$8)</f>
        <v>54145</v>
      </c>
      <c r="N10" s="7">
        <f>IF(L10&gt;=30,M10*财政贴息试算!$H$10*30/360,M10*财政贴息试算!$H$10*明细表!L10/360)</f>
        <v>44.669625000000003</v>
      </c>
      <c r="Q10">
        <f>IF(ROW()-1&gt;MIN(DATEDIF(财政贴息试算!$K$11,财政贴息试算!$C$3,"m")+1,财政贴息试算!$NF$9),"",ROW()-1)</f>
        <v>9</v>
      </c>
      <c r="R10" s="2">
        <f>IF(Q10="","",EDATE(财政贴息试算!$K$11,Q10-1))</f>
        <v>46329</v>
      </c>
      <c r="S10" s="2">
        <f>IF(Q10="","",MIN(EDATE(财政贴息试算!$K$11,Q10)-1,财政贴息试算!$C$3))</f>
        <v>46358</v>
      </c>
      <c r="T10">
        <f t="shared" si="2"/>
        <v>30</v>
      </c>
      <c r="U10">
        <f>IF(Q10="","",财政贴息试算!$K$8-财政贴息试算!$K$8*25%)</f>
        <v>52500</v>
      </c>
      <c r="V10" s="7">
        <f>IF(T10&gt;=30,U10*财政贴息试算!$C$2*30/360,U10*财政贴息试算!$C$2*明细表!T10/360)</f>
        <v>43.75</v>
      </c>
    </row>
    <row r="11" spans="1:22" x14ac:dyDescent="0.3">
      <c r="A11">
        <f>IF(ROW()-1&gt;MIN(DATEDIF(财政贴息试算!$C$11,财政贴息试算!$C$3,"m")+1,财政贴息试算!$C$9),"",ROW()-1)</f>
        <v>10</v>
      </c>
      <c r="B11" s="6">
        <f>IF(A11="","",EDATE(财政贴息试算!$C$11,A11-1))</f>
        <v>46368</v>
      </c>
      <c r="C11" s="2">
        <f>IF(A11="","",MIN(EDATE(财政贴息试算!$C$11,A11)-1,财政贴息试算!$C$3))</f>
        <v>46387</v>
      </c>
      <c r="D11">
        <f t="shared" si="0"/>
        <v>20</v>
      </c>
      <c r="E11" s="7">
        <f>IF(A11="","",E10*(1+财政贴息试算!$C$10/12)-财政贴息试算!$C$8*(财政贴息试算!$C$10/12)*(1+财政贴息试算!$C$10/12)^财政贴息试算!$C$9/((1+财政贴息试算!$C$10/12)^财政贴息试算!$C$9-1))</f>
        <v>8280.9503279640358</v>
      </c>
      <c r="F11" s="7">
        <f>IF(D11&gt;=30,E11*财政贴息试算!$D$10*30/360,E11*财政贴息试算!$D$10*明细表!D11/360)</f>
        <v>4.6005279599800195</v>
      </c>
      <c r="I11">
        <f>IF(ROW()-1&gt;MIN(DATEDIF(财政贴息试算!$G$11,财政贴息试算!$C$3,"m")+1,财政贴息试算!$G$9),"",ROW()-1)</f>
        <v>10</v>
      </c>
      <c r="J11" s="2">
        <f>IF(I11="","",EDATE(财政贴息试算!$G$11,I11-1))</f>
        <v>46357</v>
      </c>
      <c r="K11" s="2">
        <f>IF(I11="","",MIN(EDATE(财政贴息试算!$G$11,I11)-1,财政贴息试算!$C$3))</f>
        <v>46387</v>
      </c>
      <c r="L11">
        <f t="shared" si="1"/>
        <v>31</v>
      </c>
      <c r="M11">
        <f>IF(I11="","",财政贴息试算!$G$8)</f>
        <v>54145</v>
      </c>
      <c r="N11" s="7">
        <f>IF(L11&gt;=30,M11*财政贴息试算!$H$10*30/360,M11*财政贴息试算!$H$10*明细表!L11/360)</f>
        <v>44.669625000000003</v>
      </c>
      <c r="Q11">
        <f>IF(ROW()-1&gt;MIN(DATEDIF(财政贴息试算!$K$11,财政贴息试算!$C$3,"m")+1,财政贴息试算!$NF$9),"",ROW()-1)</f>
        <v>10</v>
      </c>
      <c r="R11" s="2">
        <f>IF(Q11="","",EDATE(财政贴息试算!$K$11,Q11-1))</f>
        <v>46359</v>
      </c>
      <c r="S11" s="2">
        <f>IF(Q11="","",MIN(EDATE(财政贴息试算!$K$11,Q11)-1,财政贴息试算!$C$3))</f>
        <v>46387</v>
      </c>
      <c r="T11">
        <f t="shared" si="2"/>
        <v>29</v>
      </c>
      <c r="U11">
        <f>IF(Q11="","",财政贴息试算!$K$8-财政贴息试算!$K$8*25%)</f>
        <v>52500</v>
      </c>
      <c r="V11" s="7">
        <f>IF(T11&gt;=30,U11*财政贴息试算!$C$2*30/360,U11*财政贴息试算!$C$2*明细表!T11/360)</f>
        <v>42.291666666666664</v>
      </c>
    </row>
    <row r="12" spans="1:22" x14ac:dyDescent="0.3">
      <c r="A12" t="str">
        <f>IF(ROW()-1&gt;MIN(DATEDIF(财政贴息试算!$C$11,财政贴息试算!$C$3,"m")+1,财政贴息试算!$C$9),"",ROW()-1)</f>
        <v/>
      </c>
      <c r="B12" s="6" t="str">
        <f>IF(A12="","",EDATE(财政贴息试算!$C$11,A12-1))</f>
        <v/>
      </c>
      <c r="C12" s="2" t="str">
        <f>IF(A12="","",MIN(EDATE(财政贴息试算!$C$11,A12)-1,财政贴息试算!$C$3))</f>
        <v/>
      </c>
      <c r="D12" t="str">
        <f t="shared" ref="D12:D18" si="3">IF(A12="","",DATEDIF(B12,C12,"d")+1)</f>
        <v/>
      </c>
      <c r="E12" s="7" t="str">
        <f>IF(A12="","",E11*(1+财政贴息试算!$C$10/12)-财政贴息试算!$C$8*(财政贴息试算!$C$10/12)*(1+财政贴息试算!$C$10/12)^财政贴息试算!$C$9/((1+财政贴息试算!$C$10/12)^财政贴息试算!$C$9-1))</f>
        <v/>
      </c>
      <c r="F12" s="7" t="e">
        <f>IF(D12&gt;=30,E12*财政贴息试算!$D$10*30/360,E12*财政贴息试算!$D$10*明细表!D12/360)</f>
        <v>#VALUE!</v>
      </c>
      <c r="I12" t="str">
        <f>IF(ROW()-1&gt;MIN(DATEDIF(财政贴息试算!$G$11,财政贴息试算!$C$3,"m")+1,财政贴息试算!$G$9),"",ROW()-1)</f>
        <v/>
      </c>
      <c r="J12" s="2" t="str">
        <f>IF(I12="","",EDATE(财政贴息试算!$G$11,I12-1))</f>
        <v/>
      </c>
      <c r="K12" s="2" t="str">
        <f>IF(I12="","",MIN(EDATE(财政贴息试算!$G$11,I12)-1,财政贴息试算!$C$3))</f>
        <v/>
      </c>
      <c r="L12" t="str">
        <f t="shared" si="1"/>
        <v/>
      </c>
      <c r="M12" t="str">
        <f>IF(I12="","",财政贴息试算!$G$8)</f>
        <v/>
      </c>
      <c r="N12" s="7" t="e">
        <f>IF(L12&gt;=30,M12*财政贴息试算!$H$10*30/360,M12*财政贴息试算!$H$10*明细表!L12/360)</f>
        <v>#VALUE!</v>
      </c>
      <c r="Q12" t="str">
        <f>IF(ROW()-1&gt;MIN(DATEDIF(财政贴息试算!$K$11,财政贴息试算!$C$3,"m")+1,财政贴息试算!$NF$9),"",ROW()-1)</f>
        <v/>
      </c>
      <c r="R12" s="2" t="str">
        <f>IF(Q12="","",EDATE(财政贴息试算!$K$11,Q12-1))</f>
        <v/>
      </c>
      <c r="S12" s="2" t="str">
        <f>IF(Q12="","",MIN(EDATE(财政贴息试算!$K$11,Q12)-1,财政贴息试算!$C$3))</f>
        <v/>
      </c>
      <c r="T12" t="str">
        <f t="shared" ref="T12:T13" si="4">IF(Q12="","",DATEDIF(R12,S12,"d")+1)</f>
        <v/>
      </c>
      <c r="U12" t="str">
        <f>IF(Q12="","",财政贴息试算!$K$8-财政贴息试算!$K$8*25%)</f>
        <v/>
      </c>
      <c r="V12" s="7" t="e">
        <f>IF(T12&gt;=30,U12*财政贴息试算!$C$2*30/360,U12*财政贴息试算!$C$2*明细表!T12/360)</f>
        <v>#VALUE!</v>
      </c>
    </row>
    <row r="13" spans="1:22" x14ac:dyDescent="0.3">
      <c r="A13" t="str">
        <f>IF(ROW()-1&gt;MIN(DATEDIF(财政贴息试算!$C$11,财政贴息试算!$C$3,"m")+1,财政贴息试算!$C$9),"",ROW()-1)</f>
        <v/>
      </c>
      <c r="B13" s="6" t="str">
        <f>IF(A13="","",EDATE(财政贴息试算!$C$11,A13-1))</f>
        <v/>
      </c>
      <c r="C13" s="2" t="str">
        <f>IF(A13="","",MIN(EDATE(财政贴息试算!$C$11,A13)-1,财政贴息试算!$C$3))</f>
        <v/>
      </c>
      <c r="D13" t="str">
        <f t="shared" si="3"/>
        <v/>
      </c>
      <c r="E13" s="7" t="str">
        <f>IF(A13="","",E12*(1+财政贴息试算!$C$10/12)-财政贴息试算!$C$8*(财政贴息试算!$C$10/12)*(1+财政贴息试算!$C$10/12)^财政贴息试算!$C$9/((1+财政贴息试算!$C$10/12)^财政贴息试算!$C$9-1))</f>
        <v/>
      </c>
      <c r="F13" s="7" t="e">
        <f>IF(D13&gt;=30,E13*财政贴息试算!$D$10*30/360,E13*财政贴息试算!$D$10*明细表!D13/360)</f>
        <v>#VALUE!</v>
      </c>
      <c r="I13" t="str">
        <f>IF(ROW()-1&gt;MIN(DATEDIF(财政贴息试算!$G$11,财政贴息试算!$C$3,"m")+1,财政贴息试算!$G$9),"",ROW()-1)</f>
        <v/>
      </c>
      <c r="J13" s="2" t="str">
        <f>IF(I13="","",EDATE(财政贴息试算!$G$11,I13-1))</f>
        <v/>
      </c>
      <c r="K13" s="2" t="str">
        <f>IF(I13="","",MIN(EDATE(财政贴息试算!$G$11,I13)-1,财政贴息试算!$C$3))</f>
        <v/>
      </c>
      <c r="L13" t="str">
        <f t="shared" si="1"/>
        <v/>
      </c>
      <c r="M13" t="str">
        <f>IF(I13="","",财政贴息试算!$G$8)</f>
        <v/>
      </c>
      <c r="N13" s="7" t="e">
        <f>IF(L13&gt;=30,M13*财政贴息试算!$H$10*30/360,M13*财政贴息试算!$H$10*明细表!L13/360)</f>
        <v>#VALUE!</v>
      </c>
      <c r="Q13" t="str">
        <f>IF(ROW()-1&gt;MIN(DATEDIF(财政贴息试算!$K$11,财政贴息试算!$C$3,"m")+1,财政贴息试算!$NF$9),"",ROW()-1)</f>
        <v/>
      </c>
      <c r="R13" s="2" t="str">
        <f>IF(Q13="","",EDATE(财政贴息试算!$K$11,Q13-1))</f>
        <v/>
      </c>
      <c r="S13" s="2" t="str">
        <f>IF(Q13="","",MIN(EDATE(财政贴息试算!$K$11,Q13)-1,财政贴息试算!$C$3))</f>
        <v/>
      </c>
      <c r="T13" t="str">
        <f t="shared" si="4"/>
        <v/>
      </c>
      <c r="U13" t="str">
        <f>IF(Q13="","",财政贴息试算!$K$8-财政贴息试算!$K$8*25%)</f>
        <v/>
      </c>
      <c r="V13" s="7" t="e">
        <f>IF(T13&gt;=30,U13*财政贴息试算!$C$2*30/360,U13*财政贴息试算!$C$2*明细表!T13/360)</f>
        <v>#VALUE!</v>
      </c>
    </row>
    <row r="14" spans="1:22" x14ac:dyDescent="0.3">
      <c r="A14" t="str">
        <f>IF(ROW()-1&gt;MIN(DATEDIF(财政贴息试算!$C$11,财政贴息试算!$C$3,"m")+1,财政贴息试算!$C$9),"",ROW()-1)</f>
        <v/>
      </c>
      <c r="B14" s="6" t="str">
        <f>IF(A14="","",EDATE(财政贴息试算!$C$11,A14-1))</f>
        <v/>
      </c>
      <c r="C14" s="2" t="str">
        <f>IF(A14="","",MIN(EDATE(财政贴息试算!$C$11,A14)-1,财政贴息试算!$C$3))</f>
        <v/>
      </c>
      <c r="D14" t="str">
        <f t="shared" si="3"/>
        <v/>
      </c>
      <c r="E14" s="7" t="str">
        <f>IF(A14="","",E13*(1+财政贴息试算!C24/12)-财政贴息试算!C22*(财政贴息试算!C24/12)*(1+财政贴息试算!C24/12)^财政贴息试算!C23/((1+财政贴息试算!C24/12)^财政贴息试算!C23-1))</f>
        <v/>
      </c>
      <c r="F14" s="7" t="str">
        <f>IF(A14="","",E14*财政贴息试算!$C$2*30/360)</f>
        <v/>
      </c>
    </row>
    <row r="15" spans="1:22" x14ac:dyDescent="0.3">
      <c r="A15" t="str">
        <f>IF(ROW()-1&gt;MIN(DATEDIF(财政贴息试算!$C$11,财政贴息试算!$C$3,"m")+1,财政贴息试算!$C$9),"",ROW()-1)</f>
        <v/>
      </c>
      <c r="B15" s="6" t="str">
        <f>IF(A15="","",EDATE(财政贴息试算!$C$11,A15-1))</f>
        <v/>
      </c>
      <c r="C15" s="2" t="str">
        <f>IF(A15="","",MIN(EDATE(财政贴息试算!$C$11,A15)-1,财政贴息试算!$C$3))</f>
        <v/>
      </c>
      <c r="D15" t="str">
        <f t="shared" si="3"/>
        <v/>
      </c>
      <c r="E15" s="7" t="str">
        <f>IF(A15="","",E14*(1+财政贴息试算!C25/12)-财政贴息试算!C23*(财政贴息试算!C25/12)*(1+财政贴息试算!C25/12)^财政贴息试算!C24/((1+财政贴息试算!C25/12)^财政贴息试算!C24-1))</f>
        <v/>
      </c>
      <c r="F15" s="7" t="str">
        <f>IF(A15="","",E15*财政贴息试算!$C$2*30/360)</f>
        <v/>
      </c>
    </row>
    <row r="16" spans="1:22" x14ac:dyDescent="0.3">
      <c r="A16" t="str">
        <f>IF(ROW()-1&gt;MIN(DATEDIF(财政贴息试算!$C$11,财政贴息试算!$C$3,"m")+1,财政贴息试算!$C$9),"",ROW()-1)</f>
        <v/>
      </c>
      <c r="B16" s="6" t="str">
        <f>IF(A16="","",EDATE(财政贴息试算!$C$11,A16-1))</f>
        <v/>
      </c>
      <c r="C16" s="2" t="str">
        <f>IF(A16="","",MIN(EDATE(财政贴息试算!$C$11,A16)-1,财政贴息试算!$C$3))</f>
        <v/>
      </c>
      <c r="D16" t="str">
        <f t="shared" si="3"/>
        <v/>
      </c>
      <c r="E16" s="7" t="str">
        <f>IF(A16="","",E15*(1+财政贴息试算!C26/12)-财政贴息试算!C24*(财政贴息试算!C26/12)*(1+财政贴息试算!C26/12)^财政贴息试算!C25/((1+财政贴息试算!C26/12)^财政贴息试算!C25-1))</f>
        <v/>
      </c>
      <c r="F16" s="7" t="str">
        <f>IF(A16="","",E16*财政贴息试算!$C$2*30/360)</f>
        <v/>
      </c>
    </row>
    <row r="17" spans="1:6" x14ac:dyDescent="0.3">
      <c r="A17" t="str">
        <f>IF(ROW()-1&gt;MIN(DATEDIF(财政贴息试算!$C$11,财政贴息试算!$C$3,"m")+1,财政贴息试算!$C$9),"",ROW()-1)</f>
        <v/>
      </c>
      <c r="B17" s="6" t="str">
        <f>IF(A17="","",EDATE(财政贴息试算!$C$11,A17-1))</f>
        <v/>
      </c>
      <c r="C17" s="2" t="str">
        <f>IF(A17="","",MIN(EDATE(财政贴息试算!$C$11,A17)-1,财政贴息试算!$C$3))</f>
        <v/>
      </c>
      <c r="D17" t="str">
        <f t="shared" si="3"/>
        <v/>
      </c>
      <c r="E17" s="7" t="str">
        <f>IF(A17="","",E16*(1+财政贴息试算!C27/12)-财政贴息试算!C25*(财政贴息试算!C27/12)*(1+财政贴息试算!C27/12)^财政贴息试算!C26/((1+财政贴息试算!C27/12)^财政贴息试算!C26-1))</f>
        <v/>
      </c>
      <c r="F17" s="7" t="str">
        <f>IF(A17="","",E17*财政贴息试算!$C$2*30/360)</f>
        <v/>
      </c>
    </row>
    <row r="18" spans="1:6" x14ac:dyDescent="0.3">
      <c r="A18" t="str">
        <f>IF(ROW()-1&gt;MIN(DATEDIF(财政贴息试算!$C$11,财政贴息试算!$C$3,"m")+1,财政贴息试算!$C$9),"",ROW()-1)</f>
        <v/>
      </c>
      <c r="B18" s="6" t="str">
        <f>IF(A18="","",EDATE(财政贴息试算!$C$11,A18-1))</f>
        <v/>
      </c>
      <c r="C18" s="2" t="str">
        <f>IF(A18="","",MIN(EDATE(财政贴息试算!$C$11,A18)-1,财政贴息试算!$C$3))</f>
        <v/>
      </c>
      <c r="D18" t="str">
        <f t="shared" si="3"/>
        <v/>
      </c>
      <c r="E18" s="7" t="str">
        <f>IF(A18="","",E17*(1+财政贴息试算!C28/12)-财政贴息试算!C26*(财政贴息试算!C28/12)*(1+财政贴息试算!C28/12)^财政贴息试算!C27/((1+财政贴息试算!C28/12)^财政贴息试算!C27-1))</f>
        <v/>
      </c>
      <c r="F18" s="7" t="str">
        <f>IF(A18="","",E18*财政贴息试算!$C$2*30/360)</f>
        <v/>
      </c>
    </row>
    <row r="19" spans="1:6" x14ac:dyDescent="0.3">
      <c r="E19" s="7" t="str">
        <f>IF(A19="","",E18*(1+财政贴息试算!C29/12)-财政贴息试算!C27*(财政贴息试算!C29/12)*(1+财政贴息试算!C29/12)^财政贴息试算!C28/((1+财政贴息试算!C29/12)^财政贴息试算!C28-1))</f>
        <v/>
      </c>
      <c r="F19" s="7" t="str">
        <f>IF(A19="","",E19*财政贴息试算!$C$2*30/360)</f>
        <v/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财政贴息试算</vt:lpstr>
      <vt:lpstr>明细表</vt:lpstr>
    </vt:vector>
  </TitlesOfParts>
  <Company>SaicGMAC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Emily</dc:creator>
  <cp:lastModifiedBy>Zhang, Emily</cp:lastModifiedBy>
  <dcterms:created xsi:type="dcterms:W3CDTF">2026-02-12T03:03:13Z</dcterms:created>
  <dcterms:modified xsi:type="dcterms:W3CDTF">2026-03-09T12:52:40Z</dcterms:modified>
</cp:coreProperties>
</file>