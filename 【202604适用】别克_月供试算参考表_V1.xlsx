
<file path=[Content_Types].xml><?xml version="1.0" encoding="utf-8"?>
<Types xmlns="http://schemas.openxmlformats.org/package/2006/content-types">
  <Default Extension="bin" ContentType="application/vnd.openxmlformats-officedocument.spreadsheetml.printerSettings"/>
  <Default Extension="emf" ContentType="image/x-emf"/>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emf"/><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mc:AlternateContent xmlns:mc="http://schemas.openxmlformats.org/markup-compatibility/2006">
    <mc:Choice Requires="x15">
      <x15ac:absPath xmlns:x15ac="http://schemas.microsoft.com/office/spreadsheetml/2010/11/ac" url="C:\Users\MZP5J5\Desktop\工作库\试算表相关\"/>
    </mc:Choice>
  </mc:AlternateContent>
  <xr:revisionPtr revIDLastSave="0" documentId="13_ncr:1_{186E5434-A260-4FE4-AF2D-36DAE0064429}" xr6:coauthVersionLast="47" xr6:coauthVersionMax="47" xr10:uidLastSave="{00000000-0000-0000-0000-000000000000}"/>
  <workbookProtection workbookAlgorithmName="SHA-512" workbookHashValue="qiXr3d9Vrx2SdN0mLajtp9wLfXZrL+kww/1pdfn/tofJQwZKvZj/nwTqs4KgJJH/qA0yzl6EzOx2MX7CHCU1Zw==" workbookSaltValue="QuhN//HXN34dpkriJkww3g==" workbookSpinCount="100000" lockStructure="1"/>
  <bookViews>
    <workbookView xWindow="-110" yWindow="-110" windowWidth="19420" windowHeight="11500" tabRatio="813" activeTab="1" xr2:uid="{00000000-000D-0000-FFFF-FFFF00000000}"/>
  </bookViews>
  <sheets>
    <sheet name="试算路径及方案简述" sheetId="1" r:id="rId1"/>
    <sheet name="厂贴车型明细&amp;贷款金额说明" sheetId="2" r:id="rId2"/>
    <sheet name="厂贴_1+4阶梯贷" sheetId="40" r:id="rId3"/>
    <sheet name="厂贴_常规贴息（个人）世家" sheetId="47" r:id="rId4"/>
    <sheet name="厂贴_常规贴息（公户）世家" sheetId="48" r:id="rId5"/>
    <sheet name="厂贴_双优贷 世家" sheetId="49" r:id="rId6"/>
    <sheet name="厂贴_常规贴息（个人）" sheetId="43" r:id="rId7"/>
    <sheet name="厂贴_常规贴息(停用)" sheetId="5" state="hidden" r:id="rId8"/>
    <sheet name="厂贴_新公牌易贷5050" sheetId="37" state="hidden" r:id="rId9"/>
    <sheet name="厂贴_员工车" sheetId="11" state="hidden" r:id="rId10"/>
    <sheet name="参数-方案配置" sheetId="3" state="hidden" r:id="rId11"/>
    <sheet name="参数-车系车型 利率" sheetId="6" state="hidden" r:id="rId12"/>
    <sheet name="厂贴_常规贴息（公户）" sheetId="46" r:id="rId13"/>
    <sheet name="厂贴_双优贷2.0" sheetId="36" r:id="rId14"/>
    <sheet name="厂贴_双优贷1.0" sheetId="41" r:id="rId15"/>
    <sheet name="厂贴_5050 6666" sheetId="44" r:id="rId16"/>
    <sheet name="双优贷2.0_非厂贴" sheetId="39" r:id="rId17"/>
    <sheet name="双优贷1.0_非厂贴" sheetId="42" r:id="rId18"/>
    <sheet name="新通用_非贴息" sheetId="30" r:id="rId19"/>
    <sheet name="新通用_经销商贴息" sheetId="31" r:id="rId20"/>
    <sheet name="非贴息_员工车" sheetId="35" state="hidden" r:id="rId21"/>
    <sheet name="参数-非厂贴方案配置" sheetId="34" state="hidden" r:id="rId22"/>
    <sheet name="新能源首付低于20%时 最高贷款金额测算" sheetId="20" r:id="rId23"/>
    <sheet name="产品准入政策&amp;基础参数" sheetId="13" r:id="rId24"/>
  </sheets>
  <definedNames>
    <definedName name="_25款世纪">'参数-车系车型 利率'!$W$2:$W$4</definedName>
    <definedName name="_5050车系">'参数-车系车型 利率'!$D$2:$D$7</definedName>
    <definedName name="_xlnm._FilterDatabase" localSheetId="11" hidden="1">'参数-车系车型 利率'!$D$1:$E$6</definedName>
    <definedName name="_xlnm._FilterDatabase" localSheetId="5" hidden="1">'厂贴_双优贷 世家'!$A$2:$J$11</definedName>
    <definedName name="_xlnm._FilterDatabase" localSheetId="14" hidden="1">厂贴_双优贷1.0!$A$2:$J$11</definedName>
    <definedName name="_xlnm._FilterDatabase" localSheetId="13" hidden="1">厂贴_双优贷2.0!$A$2:$J$11</definedName>
    <definedName name="_xlnm._FilterDatabase" localSheetId="8" hidden="1">厂贴_新公牌易贷5050!$A$2:$L$9</definedName>
    <definedName name="GL8陆尊燃油版">'参数-车系车型 利率'!$AH$2:$AH$4</definedName>
    <definedName name="昂科威Plus">'参数-车系车型 利率'!$AC$2:$AC$4</definedName>
    <definedName name="昂科威S">'参数-车系车型 利率'!$AD$2:$AD$4</definedName>
    <definedName name="厂贴双优贷车系">'参数-车系车型 利率'!$M$2:$M$12</definedName>
    <definedName name="车系参数">'参数-车系车型 利率'!$P$2:$P$6</definedName>
    <definedName name="阶梯贷车系参数">'参数-车系车型 利率'!$I$2:$I$3</definedName>
    <definedName name="君越">'参数-车系车型 利率'!$AE$2:$AE$3</definedName>
    <definedName name="陆尊_ES">'参数-车系车型 利率'!$X$2:$X$3</definedName>
    <definedName name="陆尊_PHEV">'参数-车系车型 利率'!$Y$2:$Y$5</definedName>
    <definedName name="全新GL8_陆尊_新能源">'参数-车系车型 利率'!$AG$2:$AG$4</definedName>
    <definedName name="全新GL8陆上公务舱">'参数-车系车型 利率'!$AB$2:$AB$5</definedName>
    <definedName name="威朗Pro">'参数-车系车型 利率'!$AA$2:$AA$11</definedName>
    <definedName name="微蓝6_450KM">'参数-车系车型 利率'!$Z$2:$Z$3</definedName>
    <definedName name="新君威">'参数-车系车型 利率'!$AF$2:$AF$5</definedName>
    <definedName name="至境L7">'参数-车系车型 利率'!$U$2:$U$7</definedName>
    <definedName name="至境世家">'参数-车系车型 利率'!$AI$2:$AI$5</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E29" i="2" l="1"/>
  <c r="L29" i="48"/>
  <c r="L28" i="48"/>
  <c r="L27" i="47"/>
  <c r="L28" i="47"/>
  <c r="L20" i="43"/>
  <c r="E28" i="2"/>
  <c r="E16" i="2"/>
  <c r="H21" i="48"/>
  <c r="C21" i="48" s="1"/>
  <c r="D21" i="48" s="1"/>
  <c r="H20" i="48"/>
  <c r="C20" i="48" s="1"/>
  <c r="D20" i="48" s="1"/>
  <c r="M29" i="48"/>
  <c r="M17" i="48"/>
  <c r="M28" i="47"/>
  <c r="J29" i="48"/>
  <c r="K20" i="47"/>
  <c r="K19" i="47"/>
  <c r="H19" i="47"/>
  <c r="C19" i="47" s="1"/>
  <c r="D19" i="47" s="1"/>
  <c r="H20" i="47"/>
  <c r="C20" i="47"/>
  <c r="E20" i="47" s="1"/>
  <c r="K28" i="47"/>
  <c r="J28" i="47"/>
  <c r="B5" i="48"/>
  <c r="K20" i="48" s="1"/>
  <c r="E27" i="2"/>
  <c r="H28" i="49" s="1"/>
  <c r="J28" i="49"/>
  <c r="I28" i="49"/>
  <c r="I18" i="41"/>
  <c r="B8" i="41"/>
  <c r="E13" i="2"/>
  <c r="H18" i="36" s="1"/>
  <c r="B8" i="49"/>
  <c r="C25" i="49"/>
  <c r="C15" i="49"/>
  <c r="B25" i="49"/>
  <c r="B15" i="49"/>
  <c r="E30" i="2"/>
  <c r="I17" i="48" s="1"/>
  <c r="J20" i="48"/>
  <c r="B8" i="48"/>
  <c r="C25" i="48"/>
  <c r="B25" i="48" s="1"/>
  <c r="C14" i="48"/>
  <c r="B14" i="48" s="1"/>
  <c r="J28" i="48"/>
  <c r="E24" i="49"/>
  <c r="J18" i="49"/>
  <c r="I18" i="49"/>
  <c r="E14" i="49"/>
  <c r="B5" i="49"/>
  <c r="E8" i="49" s="1"/>
  <c r="M4" i="49"/>
  <c r="M6" i="49"/>
  <c r="M5" i="49"/>
  <c r="J19" i="47"/>
  <c r="F7" i="47"/>
  <c r="C24" i="47"/>
  <c r="D24" i="47"/>
  <c r="C13" i="47"/>
  <c r="D13" i="47"/>
  <c r="B24" i="47"/>
  <c r="B13" i="47"/>
  <c r="J16" i="47"/>
  <c r="J27" i="47"/>
  <c r="J18" i="47"/>
  <c r="L21" i="48"/>
  <c r="J21" i="48"/>
  <c r="J17" i="48"/>
  <c r="L20" i="48"/>
  <c r="L19" i="48"/>
  <c r="J19" i="48"/>
  <c r="L18" i="48"/>
  <c r="J18" i="48"/>
  <c r="L17" i="48"/>
  <c r="B5" i="47"/>
  <c r="F8" i="47" s="1"/>
  <c r="L20" i="47"/>
  <c r="J20" i="47"/>
  <c r="L19" i="47"/>
  <c r="L18" i="47"/>
  <c r="L17" i="47"/>
  <c r="J17" i="47"/>
  <c r="M16" i="47"/>
  <c r="L16" i="47"/>
  <c r="D8" i="47"/>
  <c r="B8" i="47"/>
  <c r="F5" i="47"/>
  <c r="O4" i="31"/>
  <c r="O4" i="30"/>
  <c r="E26" i="2"/>
  <c r="J22" i="46"/>
  <c r="J21" i="46"/>
  <c r="J20" i="46"/>
  <c r="J19" i="46"/>
  <c r="J18" i="46"/>
  <c r="J17" i="46"/>
  <c r="E40" i="2"/>
  <c r="E41" i="2"/>
  <c r="B8" i="46"/>
  <c r="C14" i="46"/>
  <c r="B14" i="46"/>
  <c r="M22" i="46"/>
  <c r="M17" i="46"/>
  <c r="L22" i="46"/>
  <c r="L21" i="46"/>
  <c r="L20" i="46"/>
  <c r="L19" i="46"/>
  <c r="L18" i="46"/>
  <c r="L17" i="46"/>
  <c r="B5" i="46"/>
  <c r="I22" i="46" s="1"/>
  <c r="B13" i="43"/>
  <c r="J21" i="43"/>
  <c r="J20" i="43"/>
  <c r="J19" i="43"/>
  <c r="J18" i="43"/>
  <c r="J17" i="43"/>
  <c r="J16" i="43"/>
  <c r="F7" i="43"/>
  <c r="C13" i="43" s="1"/>
  <c r="D13" i="43" s="1"/>
  <c r="F5" i="43"/>
  <c r="D8" i="43"/>
  <c r="B8" i="43"/>
  <c r="E22" i="2"/>
  <c r="E23" i="2"/>
  <c r="E24" i="2"/>
  <c r="E25" i="2"/>
  <c r="E21" i="2"/>
  <c r="E20" i="2"/>
  <c r="E9" i="2"/>
  <c r="E10" i="2"/>
  <c r="E8" i="2"/>
  <c r="I18" i="36"/>
  <c r="E14" i="41"/>
  <c r="E14" i="36"/>
  <c r="E12" i="43"/>
  <c r="B9" i="40"/>
  <c r="C18" i="40" s="1"/>
  <c r="C19" i="40" s="1"/>
  <c r="E11" i="2"/>
  <c r="K24" i="44"/>
  <c r="M21" i="43"/>
  <c r="M16" i="43"/>
  <c r="B8" i="44"/>
  <c r="E15" i="2"/>
  <c r="E17" i="2"/>
  <c r="E12" i="2"/>
  <c r="H24" i="44"/>
  <c r="E24" i="44"/>
  <c r="B21" i="44"/>
  <c r="C21" i="44" s="1"/>
  <c r="D21" i="44" s="1"/>
  <c r="L17" i="44"/>
  <c r="K17" i="44"/>
  <c r="B5" i="44"/>
  <c r="E8" i="44" s="1"/>
  <c r="B15" i="44"/>
  <c r="C19" i="44"/>
  <c r="C15" i="44"/>
  <c r="D15" i="44"/>
  <c r="E18" i="2"/>
  <c r="L21" i="43"/>
  <c r="E14" i="5"/>
  <c r="L19" i="43"/>
  <c r="L18" i="43"/>
  <c r="L17" i="43"/>
  <c r="L16" i="43"/>
  <c r="B5" i="43"/>
  <c r="I21" i="43" s="1"/>
  <c r="E39" i="2"/>
  <c r="E38" i="2"/>
  <c r="E37" i="2"/>
  <c r="E36" i="2"/>
  <c r="E35" i="2"/>
  <c r="E34" i="2"/>
  <c r="E32" i="2"/>
  <c r="E33" i="2"/>
  <c r="E31" i="2"/>
  <c r="E47" i="2"/>
  <c r="E14" i="2"/>
  <c r="D19" i="42"/>
  <c r="D13" i="42"/>
  <c r="C6" i="42"/>
  <c r="C8" i="42"/>
  <c r="C9" i="42"/>
  <c r="J18" i="41"/>
  <c r="C15" i="41"/>
  <c r="B15" i="41"/>
  <c r="B5" i="41"/>
  <c r="E8" i="41" s="1"/>
  <c r="M4" i="41"/>
  <c r="M5" i="41"/>
  <c r="J18" i="36"/>
  <c r="E19" i="42"/>
  <c r="E13" i="42"/>
  <c r="F13" i="42"/>
  <c r="L15" i="42"/>
  <c r="L13" i="42"/>
  <c r="F19" i="42"/>
  <c r="L21" i="42"/>
  <c r="L19" i="42"/>
  <c r="M6" i="41"/>
  <c r="H13" i="42"/>
  <c r="G13" i="42"/>
  <c r="L14" i="42"/>
  <c r="H19" i="42"/>
  <c r="G19" i="42"/>
  <c r="L20" i="42"/>
  <c r="M20" i="40"/>
  <c r="I18" i="40"/>
  <c r="H18" i="40"/>
  <c r="G18" i="40"/>
  <c r="E19" i="2"/>
  <c r="B5" i="40"/>
  <c r="B8" i="40" s="1"/>
  <c r="M18" i="5"/>
  <c r="J23" i="5"/>
  <c r="J22" i="5"/>
  <c r="J21" i="5"/>
  <c r="J20" i="5"/>
  <c r="J19" i="5"/>
  <c r="J18" i="5"/>
  <c r="I18" i="5"/>
  <c r="D19" i="39"/>
  <c r="D13" i="39"/>
  <c r="C6" i="39"/>
  <c r="C8" i="39"/>
  <c r="C9" i="39"/>
  <c r="E19" i="39"/>
  <c r="F13" i="39"/>
  <c r="L15" i="39"/>
  <c r="L14" i="39" s="1"/>
  <c r="F19" i="39"/>
  <c r="L21" i="39"/>
  <c r="L19" i="39"/>
  <c r="E13" i="39"/>
  <c r="E14" i="11"/>
  <c r="H13" i="39"/>
  <c r="G13" i="39"/>
  <c r="L20" i="39"/>
  <c r="H19" i="39"/>
  <c r="G19" i="39"/>
  <c r="L18" i="37"/>
  <c r="L18" i="11"/>
  <c r="B8" i="36"/>
  <c r="C15" i="36"/>
  <c r="B15" i="36"/>
  <c r="H18" i="37"/>
  <c r="K18" i="37"/>
  <c r="B6" i="37" s="1"/>
  <c r="D13" i="37"/>
  <c r="B5" i="37"/>
  <c r="E8" i="37" s="1"/>
  <c r="B5" i="36"/>
  <c r="E8" i="36" s="1"/>
  <c r="M4" i="36"/>
  <c r="M6" i="36"/>
  <c r="M5" i="36"/>
  <c r="K23" i="11"/>
  <c r="K22" i="11"/>
  <c r="K21" i="11"/>
  <c r="K20" i="11"/>
  <c r="K19" i="11"/>
  <c r="K18" i="11"/>
  <c r="B5" i="35"/>
  <c r="C20" i="35"/>
  <c r="C19" i="35"/>
  <c r="C18" i="35"/>
  <c r="C17" i="35"/>
  <c r="C16" i="35"/>
  <c r="C15" i="35"/>
  <c r="B12" i="35"/>
  <c r="C12" i="35"/>
  <c r="E20" i="35"/>
  <c r="D20" i="35"/>
  <c r="F20" i="35"/>
  <c r="E16" i="35"/>
  <c r="D16" i="35"/>
  <c r="F16" i="35"/>
  <c r="E18" i="35"/>
  <c r="D18" i="35"/>
  <c r="F18" i="35"/>
  <c r="D19" i="35"/>
  <c r="F19" i="35"/>
  <c r="E19" i="35"/>
  <c r="D17" i="35"/>
  <c r="F17" i="35"/>
  <c r="E17" i="35"/>
  <c r="E15" i="35"/>
  <c r="J18" i="35"/>
  <c r="J16" i="35"/>
  <c r="D15" i="35"/>
  <c r="J17" i="35"/>
  <c r="F15" i="35"/>
  <c r="P26" i="31"/>
  <c r="P18" i="31"/>
  <c r="J9" i="31"/>
  <c r="L9" i="31"/>
  <c r="C9" i="31"/>
  <c r="K20" i="31"/>
  <c r="J8" i="31"/>
  <c r="L8" i="31"/>
  <c r="J7" i="31"/>
  <c r="L7" i="31"/>
  <c r="J6" i="31"/>
  <c r="L6" i="31"/>
  <c r="J5" i="31"/>
  <c r="K5" i="31"/>
  <c r="J4" i="31"/>
  <c r="L4" i="31"/>
  <c r="T7" i="31"/>
  <c r="T5" i="31" s="1"/>
  <c r="G4" i="31"/>
  <c r="F4" i="31"/>
  <c r="U39" i="30"/>
  <c r="U37" i="30"/>
  <c r="U35" i="30"/>
  <c r="O34" i="30"/>
  <c r="L34" i="30"/>
  <c r="V35" i="30"/>
  <c r="O28" i="30"/>
  <c r="L28" i="30"/>
  <c r="P25" i="30"/>
  <c r="P17" i="30"/>
  <c r="J9" i="30"/>
  <c r="K9" i="30"/>
  <c r="C9" i="30"/>
  <c r="K25" i="30"/>
  <c r="J8" i="30"/>
  <c r="L8" i="30"/>
  <c r="J7" i="30"/>
  <c r="K7" i="30"/>
  <c r="J6" i="30"/>
  <c r="L6" i="30"/>
  <c r="J5" i="30"/>
  <c r="K5" i="30"/>
  <c r="J4" i="30"/>
  <c r="L4" i="30"/>
  <c r="AA7" i="30"/>
  <c r="AA5" i="30"/>
  <c r="M9" i="30"/>
  <c r="N9" i="30"/>
  <c r="M7" i="30"/>
  <c r="N7" i="30"/>
  <c r="J35" i="30"/>
  <c r="M5" i="30"/>
  <c r="N5" i="30"/>
  <c r="G4" i="30"/>
  <c r="F4" i="30"/>
  <c r="K19" i="30"/>
  <c r="J20" i="30"/>
  <c r="M20" i="30"/>
  <c r="G26" i="31"/>
  <c r="H26" i="31"/>
  <c r="L26" i="31"/>
  <c r="L5" i="31"/>
  <c r="K6" i="31"/>
  <c r="N6" i="31"/>
  <c r="K9" i="31"/>
  <c r="M9" i="31"/>
  <c r="L7" i="30"/>
  <c r="L5" i="30"/>
  <c r="L9" i="30"/>
  <c r="K6" i="30"/>
  <c r="K4" i="30"/>
  <c r="N4" i="30"/>
  <c r="J20" i="31"/>
  <c r="J21" i="31"/>
  <c r="J23" i="31"/>
  <c r="M23" i="31"/>
  <c r="J22" i="31"/>
  <c r="V36" i="30"/>
  <c r="J36" i="30"/>
  <c r="V39" i="30"/>
  <c r="J39" i="30"/>
  <c r="G18" i="31"/>
  <c r="F18" i="31"/>
  <c r="K8" i="30"/>
  <c r="J21" i="30"/>
  <c r="G25" i="30"/>
  <c r="H25" i="30"/>
  <c r="L25" i="30"/>
  <c r="G28" i="30"/>
  <c r="K4" i="31"/>
  <c r="M4" i="31"/>
  <c r="N4" i="31"/>
  <c r="V34" i="30"/>
  <c r="V37" i="30"/>
  <c r="J37" i="30"/>
  <c r="K18" i="31"/>
  <c r="K26" i="31"/>
  <c r="G17" i="30"/>
  <c r="F17" i="30"/>
  <c r="H28" i="30"/>
  <c r="G34" i="30"/>
  <c r="F34" i="30"/>
  <c r="V38" i="30"/>
  <c r="J38" i="30"/>
  <c r="K17" i="30"/>
  <c r="M4" i="30"/>
  <c r="M6" i="30"/>
  <c r="N6" i="30"/>
  <c r="M8" i="30"/>
  <c r="N8" i="30"/>
  <c r="J19" i="30"/>
  <c r="L19" i="30"/>
  <c r="O19" i="30"/>
  <c r="J22" i="30"/>
  <c r="M22" i="30"/>
  <c r="AA6" i="30"/>
  <c r="L20" i="30"/>
  <c r="O20" i="30"/>
  <c r="O25" i="30"/>
  <c r="J25" i="30"/>
  <c r="M25" i="30"/>
  <c r="J17" i="30"/>
  <c r="J18" i="30"/>
  <c r="J18" i="31"/>
  <c r="J19" i="31"/>
  <c r="O26" i="31"/>
  <c r="J26" i="31"/>
  <c r="M26" i="31"/>
  <c r="M22" i="31"/>
  <c r="L22" i="31"/>
  <c r="O22" i="31"/>
  <c r="M21" i="30"/>
  <c r="L21" i="30"/>
  <c r="O21" i="30"/>
  <c r="M21" i="31"/>
  <c r="L21" i="31"/>
  <c r="O21" i="31"/>
  <c r="K34" i="30"/>
  <c r="M34" i="30"/>
  <c r="J34" i="30"/>
  <c r="U31" i="30"/>
  <c r="U29" i="30"/>
  <c r="V28" i="30"/>
  <c r="L20" i="31"/>
  <c r="O20" i="31"/>
  <c r="M20" i="31"/>
  <c r="V29" i="30"/>
  <c r="M19" i="30"/>
  <c r="L22" i="30"/>
  <c r="O22" i="30"/>
  <c r="M18" i="30"/>
  <c r="L18" i="30"/>
  <c r="O18" i="30"/>
  <c r="V31" i="30"/>
  <c r="J31" i="30"/>
  <c r="V30" i="30"/>
  <c r="J30" i="30"/>
  <c r="M19" i="31"/>
  <c r="L19" i="31"/>
  <c r="O19" i="31"/>
  <c r="M18" i="31"/>
  <c r="T21" i="31"/>
  <c r="L18" i="31"/>
  <c r="J29" i="30"/>
  <c r="M17" i="30"/>
  <c r="AA20" i="30"/>
  <c r="AA18" i="30"/>
  <c r="L17" i="30"/>
  <c r="J28" i="30"/>
  <c r="K28" i="30"/>
  <c r="M28" i="30"/>
  <c r="O17" i="30"/>
  <c r="AA19" i="30"/>
  <c r="O18" i="31"/>
  <c r="I20" i="11"/>
  <c r="I21" i="11"/>
  <c r="I22" i="11"/>
  <c r="I23" i="11"/>
  <c r="I19" i="11"/>
  <c r="I18" i="11"/>
  <c r="E8" i="20"/>
  <c r="E7" i="20"/>
  <c r="E6" i="20"/>
  <c r="C10" i="20"/>
  <c r="C9" i="20"/>
  <c r="C11" i="20"/>
  <c r="C12" i="20"/>
  <c r="C8" i="20"/>
  <c r="E8" i="11"/>
  <c r="B5" i="11"/>
  <c r="B8" i="11" s="1"/>
  <c r="B15" i="11" s="1"/>
  <c r="C15" i="11" s="1"/>
  <c r="O4" i="11"/>
  <c r="O6" i="11"/>
  <c r="O5" i="11"/>
  <c r="E51" i="2"/>
  <c r="E52" i="2"/>
  <c r="E53" i="2"/>
  <c r="E45" i="2"/>
  <c r="E46" i="2"/>
  <c r="E48" i="2"/>
  <c r="E49" i="2"/>
  <c r="E50" i="2"/>
  <c r="E44" i="2"/>
  <c r="E42" i="2"/>
  <c r="H17" i="44" s="1"/>
  <c r="C17" i="44" s="1"/>
  <c r="C18" i="44" s="1"/>
  <c r="E43" i="2"/>
  <c r="J18" i="37"/>
  <c r="M31" i="5"/>
  <c r="M29" i="5"/>
  <c r="P4" i="5"/>
  <c r="P5" i="5"/>
  <c r="B5" i="5"/>
  <c r="E8" i="5" s="1"/>
  <c r="L34" i="5"/>
  <c r="L33" i="5"/>
  <c r="L32" i="5"/>
  <c r="L31" i="5"/>
  <c r="L29" i="5"/>
  <c r="L19" i="5"/>
  <c r="L23" i="5"/>
  <c r="L22" i="5"/>
  <c r="L21" i="5"/>
  <c r="L20" i="5"/>
  <c r="L18" i="5"/>
  <c r="P6" i="5"/>
  <c r="M5" i="31"/>
  <c r="N5" i="31"/>
  <c r="T19" i="31"/>
  <c r="T20" i="31"/>
  <c r="L23" i="31"/>
  <c r="O23" i="31"/>
  <c r="K8" i="31"/>
  <c r="M6" i="31"/>
  <c r="K7" i="31"/>
  <c r="T6" i="31"/>
  <c r="N9" i="31"/>
  <c r="N8" i="31"/>
  <c r="M8" i="31"/>
  <c r="M7" i="31"/>
  <c r="N7" i="31"/>
  <c r="H18" i="11" l="1"/>
  <c r="J20" i="11" s="1"/>
  <c r="I17" i="46"/>
  <c r="H18" i="46" s="1"/>
  <c r="C18" i="46" s="1"/>
  <c r="C30" i="44"/>
  <c r="H18" i="49"/>
  <c r="C29" i="49" s="1"/>
  <c r="E28" i="49" s="1"/>
  <c r="C28" i="49" s="1"/>
  <c r="D28" i="49" s="1"/>
  <c r="H18" i="41"/>
  <c r="C19" i="41" s="1"/>
  <c r="E18" i="41" s="1"/>
  <c r="C18" i="41" s="1"/>
  <c r="D18" i="41" s="1"/>
  <c r="I29" i="5"/>
  <c r="M26" i="5" s="1"/>
  <c r="K20" i="5"/>
  <c r="K21" i="5"/>
  <c r="K19" i="5"/>
  <c r="M12" i="36"/>
  <c r="C19" i="36"/>
  <c r="E18" i="36" s="1"/>
  <c r="C18" i="36" s="1"/>
  <c r="D18" i="36" s="1"/>
  <c r="C26" i="44"/>
  <c r="C15" i="40"/>
  <c r="B15" i="40" s="1"/>
  <c r="C25" i="44"/>
  <c r="C31" i="44"/>
  <c r="C28" i="44"/>
  <c r="C27" i="44"/>
  <c r="B8" i="37"/>
  <c r="E18" i="37" s="1"/>
  <c r="H18" i="5"/>
  <c r="C18" i="5" s="1"/>
  <c r="E18" i="5" s="1"/>
  <c r="P21" i="5" s="1"/>
  <c r="P19" i="5" s="1"/>
  <c r="K23" i="5"/>
  <c r="K18" i="5"/>
  <c r="M18" i="40"/>
  <c r="H21" i="5"/>
  <c r="C22" i="5" s="1"/>
  <c r="C29" i="44"/>
  <c r="E19" i="40"/>
  <c r="D19" i="40"/>
  <c r="C24" i="44"/>
  <c r="H22" i="46"/>
  <c r="C22" i="46" s="1"/>
  <c r="K22" i="46"/>
  <c r="K17" i="48"/>
  <c r="K18" i="48"/>
  <c r="H17" i="48"/>
  <c r="C17" i="48" s="1"/>
  <c r="D17" i="48" s="1"/>
  <c r="K22" i="5"/>
  <c r="D17" i="44"/>
  <c r="E8" i="46"/>
  <c r="H20" i="5"/>
  <c r="C20" i="5" s="1"/>
  <c r="J19" i="11"/>
  <c r="E17" i="44"/>
  <c r="I16" i="47"/>
  <c r="I28" i="48"/>
  <c r="K28" i="48" s="1"/>
  <c r="I27" i="47"/>
  <c r="K27" i="47" s="1"/>
  <c r="H23" i="5"/>
  <c r="C23" i="5" s="1"/>
  <c r="H22" i="5"/>
  <c r="I16" i="43"/>
  <c r="K20" i="43" s="1"/>
  <c r="B8" i="5"/>
  <c r="H19" i="5"/>
  <c r="C19" i="5" s="1"/>
  <c r="E20" i="48"/>
  <c r="G19" i="47"/>
  <c r="F19" i="47"/>
  <c r="D20" i="47"/>
  <c r="E19" i="47"/>
  <c r="L13" i="39"/>
  <c r="K21" i="43"/>
  <c r="H21" i="43"/>
  <c r="C21" i="43" s="1"/>
  <c r="F8" i="43"/>
  <c r="E21" i="48"/>
  <c r="H28" i="48"/>
  <c r="C28" i="48" s="1"/>
  <c r="D28" i="48" s="1"/>
  <c r="H18" i="48"/>
  <c r="C18" i="48" s="1"/>
  <c r="D18" i="48" s="1"/>
  <c r="G18" i="48" s="1"/>
  <c r="H29" i="48"/>
  <c r="C29" i="48" s="1"/>
  <c r="E29" i="48" s="1"/>
  <c r="H19" i="48"/>
  <c r="C19" i="48" s="1"/>
  <c r="E19" i="48" s="1"/>
  <c r="K19" i="48"/>
  <c r="F20" i="48"/>
  <c r="G20" i="48"/>
  <c r="F21" i="48"/>
  <c r="G21" i="48"/>
  <c r="K21" i="48"/>
  <c r="E8" i="48"/>
  <c r="J18" i="11" l="1"/>
  <c r="G22" i="11"/>
  <c r="C22" i="11" s="1"/>
  <c r="D22" i="11" s="1"/>
  <c r="F22" i="11" s="1"/>
  <c r="G21" i="11"/>
  <c r="C21" i="11" s="1"/>
  <c r="D21" i="11" s="1"/>
  <c r="F21" i="11" s="1"/>
  <c r="J23" i="11"/>
  <c r="J21" i="11"/>
  <c r="G19" i="11"/>
  <c r="C19" i="11" s="1"/>
  <c r="E19" i="11" s="1"/>
  <c r="G20" i="11"/>
  <c r="C20" i="11" s="1"/>
  <c r="D20" i="11" s="1"/>
  <c r="F20" i="11" s="1"/>
  <c r="H21" i="46"/>
  <c r="C21" i="46" s="1"/>
  <c r="E21" i="46" s="1"/>
  <c r="J22" i="11"/>
  <c r="G23" i="11"/>
  <c r="C23" i="11" s="1"/>
  <c r="E23" i="11" s="1"/>
  <c r="G18" i="11"/>
  <c r="C18" i="11" s="1"/>
  <c r="H19" i="46"/>
  <c r="C19" i="46" s="1"/>
  <c r="E19" i="46" s="1"/>
  <c r="H17" i="46"/>
  <c r="C17" i="46" s="1"/>
  <c r="D17" i="46" s="1"/>
  <c r="K17" i="46"/>
  <c r="K18" i="46"/>
  <c r="K21" i="46"/>
  <c r="H20" i="46"/>
  <c r="C20" i="46" s="1"/>
  <c r="E20" i="46" s="1"/>
  <c r="M12" i="49"/>
  <c r="K19" i="46"/>
  <c r="K20" i="46"/>
  <c r="D24" i="44"/>
  <c r="G24" i="44" s="1"/>
  <c r="C19" i="49"/>
  <c r="E18" i="49" s="1"/>
  <c r="C18" i="49" s="1"/>
  <c r="M21" i="49" s="1"/>
  <c r="M12" i="41"/>
  <c r="C21" i="5"/>
  <c r="E21" i="5" s="1"/>
  <c r="D18" i="5"/>
  <c r="F18" i="5" s="1"/>
  <c r="H16" i="43"/>
  <c r="C16" i="43" s="1"/>
  <c r="D16" i="43" s="1"/>
  <c r="F16" i="43" s="1"/>
  <c r="B15" i="37"/>
  <c r="C18" i="37" s="1"/>
  <c r="F18" i="37" s="1"/>
  <c r="P9" i="5"/>
  <c r="E17" i="48"/>
  <c r="P20" i="48" s="1"/>
  <c r="P18" i="48" s="1"/>
  <c r="K18" i="43"/>
  <c r="K19" i="43"/>
  <c r="D29" i="48"/>
  <c r="F29" i="48" s="1"/>
  <c r="D19" i="48"/>
  <c r="G19" i="48" s="1"/>
  <c r="M21" i="41"/>
  <c r="F19" i="40"/>
  <c r="M19" i="40"/>
  <c r="D20" i="5"/>
  <c r="E20" i="5"/>
  <c r="E18" i="48"/>
  <c r="E23" i="5"/>
  <c r="D23" i="5"/>
  <c r="G17" i="44"/>
  <c r="F17" i="44"/>
  <c r="E19" i="5"/>
  <c r="D19" i="5"/>
  <c r="E28" i="48"/>
  <c r="D22" i="5"/>
  <c r="E22" i="5"/>
  <c r="G18" i="36"/>
  <c r="F18" i="36"/>
  <c r="C15" i="5"/>
  <c r="B15" i="5" s="1"/>
  <c r="B26" i="5"/>
  <c r="C26" i="5" s="1"/>
  <c r="E31" i="5"/>
  <c r="E29" i="5"/>
  <c r="H20" i="43"/>
  <c r="C20" i="43" s="1"/>
  <c r="H19" i="43"/>
  <c r="C19" i="43" s="1"/>
  <c r="H18" i="43"/>
  <c r="C18" i="43" s="1"/>
  <c r="H17" i="43"/>
  <c r="C17" i="43" s="1"/>
  <c r="K17" i="43"/>
  <c r="K16" i="43"/>
  <c r="M31" i="49"/>
  <c r="M21" i="36"/>
  <c r="D18" i="46"/>
  <c r="E18" i="46"/>
  <c r="D22" i="46"/>
  <c r="E22" i="46"/>
  <c r="H28" i="47"/>
  <c r="C28" i="47" s="1"/>
  <c r="H16" i="47"/>
  <c r="C16" i="47" s="1"/>
  <c r="K16" i="47"/>
  <c r="K17" i="47"/>
  <c r="H17" i="47"/>
  <c r="C17" i="47" s="1"/>
  <c r="H18" i="47"/>
  <c r="C18" i="47" s="1"/>
  <c r="H27" i="47"/>
  <c r="C27" i="47" s="1"/>
  <c r="K18" i="47"/>
  <c r="G28" i="49"/>
  <c r="F28" i="49"/>
  <c r="G18" i="41"/>
  <c r="F18" i="41"/>
  <c r="G20" i="47"/>
  <c r="F20" i="47"/>
  <c r="E21" i="43"/>
  <c r="D21" i="43"/>
  <c r="F18" i="48"/>
  <c r="G17" i="48"/>
  <c r="F17" i="48"/>
  <c r="F28" i="48"/>
  <c r="G28" i="48"/>
  <c r="E21" i="11" l="1"/>
  <c r="F24" i="44"/>
  <c r="E22" i="11"/>
  <c r="D19" i="11"/>
  <c r="F19" i="11" s="1"/>
  <c r="E20" i="11"/>
  <c r="O9" i="11"/>
  <c r="D21" i="46"/>
  <c r="F21" i="46" s="1"/>
  <c r="D23" i="11"/>
  <c r="F23" i="11" s="1"/>
  <c r="D19" i="46"/>
  <c r="F19" i="46" s="1"/>
  <c r="E17" i="46"/>
  <c r="P20" i="46" s="1"/>
  <c r="P18" i="46" s="1"/>
  <c r="D20" i="46"/>
  <c r="G20" i="46" s="1"/>
  <c r="P20" i="5"/>
  <c r="G18" i="5"/>
  <c r="D21" i="5"/>
  <c r="G21" i="5" s="1"/>
  <c r="P19" i="48"/>
  <c r="D18" i="37"/>
  <c r="G18" i="37" s="1"/>
  <c r="C15" i="37"/>
  <c r="D15" i="37" s="1"/>
  <c r="E16" i="43"/>
  <c r="P19" i="43" s="1"/>
  <c r="P17" i="43" s="1"/>
  <c r="G16" i="43"/>
  <c r="F19" i="48"/>
  <c r="G29" i="48"/>
  <c r="M19" i="41"/>
  <c r="M20" i="41"/>
  <c r="E27" i="47"/>
  <c r="D27" i="47"/>
  <c r="M30" i="49"/>
  <c r="M29" i="49"/>
  <c r="E18" i="11"/>
  <c r="O21" i="11" s="1"/>
  <c r="O19" i="11" s="1"/>
  <c r="D18" i="11"/>
  <c r="G18" i="46"/>
  <c r="F18" i="46"/>
  <c r="F19" i="5"/>
  <c r="G19" i="5"/>
  <c r="M19" i="36"/>
  <c r="M20" i="36"/>
  <c r="E17" i="47"/>
  <c r="D17" i="47"/>
  <c r="E17" i="43"/>
  <c r="D17" i="43"/>
  <c r="G17" i="46"/>
  <c r="F17" i="46"/>
  <c r="F23" i="5"/>
  <c r="G23" i="5"/>
  <c r="D20" i="43"/>
  <c r="E20" i="43"/>
  <c r="E18" i="43"/>
  <c r="D18" i="43"/>
  <c r="D19" i="43"/>
  <c r="E19" i="43"/>
  <c r="D18" i="49"/>
  <c r="M19" i="49"/>
  <c r="J29" i="5"/>
  <c r="K29" i="5" s="1"/>
  <c r="C29" i="5" s="1"/>
  <c r="J30" i="5"/>
  <c r="K30" i="5" s="1"/>
  <c r="C30" i="5" s="1"/>
  <c r="E18" i="47"/>
  <c r="D18" i="47"/>
  <c r="E16" i="47"/>
  <c r="P19" i="47" s="1"/>
  <c r="P17" i="47" s="1"/>
  <c r="D16" i="47"/>
  <c r="E28" i="47"/>
  <c r="D28" i="47"/>
  <c r="G22" i="46"/>
  <c r="F22" i="46"/>
  <c r="J31" i="5"/>
  <c r="K31" i="5" s="1"/>
  <c r="C31" i="5" s="1"/>
  <c r="J34" i="5"/>
  <c r="K34" i="5" s="1"/>
  <c r="C34" i="5" s="1"/>
  <c r="J33" i="5"/>
  <c r="K33" i="5" s="1"/>
  <c r="C33" i="5" s="1"/>
  <c r="J32" i="5"/>
  <c r="K32" i="5" s="1"/>
  <c r="C32" i="5" s="1"/>
  <c r="F22" i="5"/>
  <c r="G22" i="5"/>
  <c r="F20" i="5"/>
  <c r="G20" i="5"/>
  <c r="F21" i="43"/>
  <c r="G21" i="43"/>
  <c r="G19" i="46" l="1"/>
  <c r="G21" i="46"/>
  <c r="F20" i="46"/>
  <c r="P19" i="46"/>
  <c r="F21" i="5"/>
  <c r="P18" i="43"/>
  <c r="F34" i="5"/>
  <c r="D34" i="5"/>
  <c r="H34" i="5" s="1"/>
  <c r="G18" i="43"/>
  <c r="F18" i="43"/>
  <c r="F18" i="11"/>
  <c r="O20" i="11"/>
  <c r="F32" i="5"/>
  <c r="D32" i="5"/>
  <c r="H32" i="5" s="1"/>
  <c r="G17" i="43"/>
  <c r="F17" i="43"/>
  <c r="F30" i="5"/>
  <c r="D30" i="5"/>
  <c r="H30" i="5" s="1"/>
  <c r="F19" i="43"/>
  <c r="G19" i="43"/>
  <c r="F16" i="47"/>
  <c r="G16" i="47"/>
  <c r="P18" i="47"/>
  <c r="D33" i="5"/>
  <c r="H33" i="5" s="1"/>
  <c r="F33" i="5"/>
  <c r="F18" i="47"/>
  <c r="G18" i="47"/>
  <c r="D31" i="5"/>
  <c r="H31" i="5" s="1"/>
  <c r="F31" i="5"/>
  <c r="M20" i="49"/>
  <c r="F18" i="49"/>
  <c r="G18" i="49"/>
  <c r="F28" i="47"/>
  <c r="G28" i="47"/>
  <c r="F17" i="47"/>
  <c r="G17" i="47"/>
  <c r="G27" i="47"/>
  <c r="F27" i="47"/>
  <c r="D29" i="5"/>
  <c r="F29" i="5"/>
  <c r="P32" i="5" s="1"/>
  <c r="P30" i="5" s="1"/>
  <c r="F20" i="43"/>
  <c r="G20" i="43"/>
  <c r="P31" i="5" l="1"/>
  <c r="H29" i="5"/>
</calcChain>
</file>

<file path=xl/sharedStrings.xml><?xml version="1.0" encoding="utf-8"?>
<sst xmlns="http://schemas.openxmlformats.org/spreadsheetml/2006/main" count="2430" uniqueCount="617">
  <si>
    <t>厂贴车型</t>
    <phoneticPr fontId="1" type="noConversion"/>
  </si>
  <si>
    <t>25款世纪</t>
    <phoneticPr fontId="1" type="noConversion"/>
  </si>
  <si>
    <t>常规贴息</t>
    <phoneticPr fontId="1" type="noConversion"/>
  </si>
  <si>
    <t>E速通系统促销车型</t>
    <phoneticPr fontId="1" type="noConversion"/>
  </si>
  <si>
    <t>市场指导价</t>
    <phoneticPr fontId="1" type="noConversion"/>
  </si>
  <si>
    <t>12期
贷款金额下限</t>
    <phoneticPr fontId="1" type="noConversion"/>
  </si>
  <si>
    <t>18期
贷款金额下限</t>
    <phoneticPr fontId="1" type="noConversion"/>
  </si>
  <si>
    <t>24期
贷款金额下限</t>
    <phoneticPr fontId="1" type="noConversion"/>
  </si>
  <si>
    <t>36期
贷款金额下限</t>
    <phoneticPr fontId="1" type="noConversion"/>
  </si>
  <si>
    <t>48期
贷款金额下限</t>
    <phoneticPr fontId="1" type="noConversion"/>
  </si>
  <si>
    <t>60期
贷款金额下限</t>
    <phoneticPr fontId="1" type="noConversion"/>
  </si>
  <si>
    <t>25款世纪 7座臻享版</t>
    <phoneticPr fontId="1" type="noConversion"/>
  </si>
  <si>
    <t>25款世纪_6座/7座蕴世版</t>
    <phoneticPr fontId="1" type="noConversion"/>
  </si>
  <si>
    <t>25款世纪_4座私享版</t>
    <phoneticPr fontId="1" type="noConversion"/>
  </si>
  <si>
    <t>车系</t>
  </si>
  <si>
    <t>全新GL8_ES 陆尊</t>
    <phoneticPr fontId="1" type="noConversion"/>
  </si>
  <si>
    <t>全新GL8 ES 陆尊 智享版</t>
    <phoneticPr fontId="1" type="noConversion"/>
  </si>
  <si>
    <t>全新GL8 ES 陆尊 尊享版</t>
    <phoneticPr fontId="1" type="noConversion"/>
  </si>
  <si>
    <t>无方案</t>
    <phoneticPr fontId="1" type="noConversion"/>
  </si>
  <si>
    <t>贷款金额下限</t>
    <phoneticPr fontId="1" type="noConversion"/>
  </si>
  <si>
    <t>12-36期</t>
    <phoneticPr fontId="1" type="noConversion"/>
  </si>
  <si>
    <t>48-60期</t>
    <phoneticPr fontId="1" type="noConversion"/>
  </si>
  <si>
    <t>马卡龙</t>
    <phoneticPr fontId="1" type="noConversion"/>
  </si>
  <si>
    <t>双优贷</t>
    <phoneticPr fontId="1" type="noConversion"/>
  </si>
  <si>
    <t>威朗Pro 乐行版</t>
    <phoneticPr fontId="1" type="noConversion"/>
  </si>
  <si>
    <t>威朗Pro 乐享版</t>
    <phoneticPr fontId="1" type="noConversion"/>
  </si>
  <si>
    <t>威朗Pro 乐趣版</t>
    <phoneticPr fontId="1" type="noConversion"/>
  </si>
  <si>
    <t>威朗Pro 乐逸版</t>
    <phoneticPr fontId="1" type="noConversion"/>
  </si>
  <si>
    <t>威朗Pro GS 追风版</t>
    <phoneticPr fontId="1" type="noConversion"/>
  </si>
  <si>
    <t>威朗Pro GS 疾风版</t>
    <phoneticPr fontId="1" type="noConversion"/>
  </si>
  <si>
    <t>厂贴比例</t>
    <phoneticPr fontId="1" type="noConversion"/>
  </si>
  <si>
    <t>MSRP*</t>
    <phoneticPr fontId="1" type="noConversion"/>
  </si>
  <si>
    <t>试算页链接</t>
    <phoneticPr fontId="1" type="noConversion"/>
  </si>
  <si>
    <t>威朗Pro</t>
    <phoneticPr fontId="1" type="noConversion"/>
  </si>
  <si>
    <t>厂贴方案说明</t>
    <phoneticPr fontId="1" type="noConversion"/>
  </si>
  <si>
    <t>全系</t>
    <phoneticPr fontId="1" type="noConversion"/>
  </si>
  <si>
    <t>微蓝6 450KM舒享PLUS版 纯电动 新能源</t>
    <phoneticPr fontId="1" type="noConversion"/>
  </si>
  <si>
    <t>微蓝6 450KM越享PLUS版 纯电动 新能源</t>
    <phoneticPr fontId="1" type="noConversion"/>
  </si>
  <si>
    <t>60期</t>
    <phoneticPr fontId="1" type="noConversion"/>
  </si>
  <si>
    <t>48期</t>
    <phoneticPr fontId="1" type="noConversion"/>
  </si>
  <si>
    <t>36期</t>
    <phoneticPr fontId="1" type="noConversion"/>
  </si>
  <si>
    <t>24期</t>
    <phoneticPr fontId="1" type="noConversion"/>
  </si>
  <si>
    <t>18期</t>
    <phoneticPr fontId="1" type="noConversion"/>
  </si>
  <si>
    <t>12期</t>
    <phoneticPr fontId="1" type="noConversion"/>
  </si>
  <si>
    <t>返回</t>
    <phoneticPr fontId="1" type="noConversion"/>
  </si>
  <si>
    <r>
      <t>车系</t>
    </r>
    <r>
      <rPr>
        <b/>
        <sz val="11"/>
        <color rgb="FFFF0000"/>
        <rFont val="微软雅黑"/>
        <family val="2"/>
        <charset val="134"/>
      </rPr>
      <t>*</t>
    </r>
    <phoneticPr fontId="1" type="noConversion"/>
  </si>
  <si>
    <t>裸车提车支出包装：</t>
    <phoneticPr fontId="33" type="noConversion"/>
  </si>
  <si>
    <t>车辆开票价：</t>
    <phoneticPr fontId="33" type="noConversion"/>
  </si>
  <si>
    <t>贷款金额为：</t>
    <phoneticPr fontId="1" type="noConversion"/>
  </si>
  <si>
    <t>总价</t>
  </si>
  <si>
    <t>总价上限：</t>
    <phoneticPr fontId="1" type="noConversion"/>
  </si>
  <si>
    <t>贷款金额</t>
    <phoneticPr fontId="1" type="noConversion"/>
  </si>
  <si>
    <t>60期月供支出包装:</t>
    <phoneticPr fontId="33" type="noConversion"/>
  </si>
  <si>
    <t>经销商贴息
（低息-选填）</t>
    <phoneticPr fontId="1" type="noConversion"/>
  </si>
  <si>
    <t>*经销商贴息需填写在E速通系统的‘经销商补贴金额’处</t>
    <phoneticPr fontId="1" type="noConversion"/>
  </si>
  <si>
    <t>计算得出贷款金额为：</t>
    <phoneticPr fontId="1" type="noConversion"/>
  </si>
  <si>
    <t>贴息超限，请调整</t>
    <phoneticPr fontId="1" type="noConversion"/>
  </si>
  <si>
    <t>第二步：查看试算结果</t>
    <phoneticPr fontId="1" type="noConversion"/>
  </si>
  <si>
    <t>还款方式-1</t>
    <phoneticPr fontId="1" type="noConversion"/>
  </si>
  <si>
    <t>首付金额</t>
    <phoneticPr fontId="1" type="noConversion"/>
  </si>
  <si>
    <t>首付比例</t>
    <phoneticPr fontId="1" type="noConversion"/>
  </si>
  <si>
    <t>期限</t>
    <phoneticPr fontId="1" type="noConversion"/>
  </si>
  <si>
    <r>
      <t>客户试算年化</t>
    </r>
    <r>
      <rPr>
        <b/>
        <sz val="14"/>
        <color theme="1"/>
        <rFont val="微软雅黑"/>
        <family val="2"/>
        <charset val="134"/>
      </rPr>
      <t>利</t>
    </r>
    <r>
      <rPr>
        <sz val="11"/>
        <color theme="1"/>
        <rFont val="微软雅黑"/>
        <family val="2"/>
        <charset val="134"/>
      </rPr>
      <t>率</t>
    </r>
    <phoneticPr fontId="1" type="noConversion"/>
  </si>
  <si>
    <r>
      <t>客户试算年化</t>
    </r>
    <r>
      <rPr>
        <b/>
        <sz val="14"/>
        <color theme="1"/>
        <rFont val="微软雅黑"/>
        <family val="2"/>
        <charset val="134"/>
      </rPr>
      <t>费</t>
    </r>
    <r>
      <rPr>
        <sz val="11"/>
        <color theme="1"/>
        <rFont val="微软雅黑"/>
        <family val="2"/>
        <charset val="134"/>
      </rPr>
      <t>率</t>
    </r>
    <phoneticPr fontId="1" type="noConversion"/>
  </si>
  <si>
    <t>厂商贴息金额参考</t>
    <phoneticPr fontId="1" type="noConversion"/>
  </si>
  <si>
    <t>方案名称关键字</t>
    <phoneticPr fontId="1" type="noConversion"/>
  </si>
  <si>
    <t>60期等额本息还满24期提前还款测算参考：</t>
    <phoneticPr fontId="33" type="noConversion"/>
  </si>
  <si>
    <t>提前还款期数</t>
    <phoneticPr fontId="49" type="noConversion"/>
  </si>
  <si>
    <t>从24期开始填写（同期结清）</t>
    <phoneticPr fontId="1" type="noConversion"/>
  </si>
  <si>
    <t>剩余本金</t>
    <phoneticPr fontId="49" type="noConversion"/>
  </si>
  <si>
    <t>可节省利息</t>
    <phoneticPr fontId="1" type="noConversion"/>
  </si>
  <si>
    <t>已还利息</t>
    <phoneticPr fontId="49" type="noConversion"/>
  </si>
  <si>
    <t>还款方式-2</t>
    <phoneticPr fontId="1" type="noConversion"/>
  </si>
  <si>
    <t>注：请注意复核贷款金额需大于等于尾款</t>
    <phoneticPr fontId="1" type="noConversion"/>
  </si>
  <si>
    <r>
      <t>尾款</t>
    </r>
    <r>
      <rPr>
        <sz val="9"/>
        <color theme="1"/>
        <rFont val="微软雅黑"/>
        <family val="2"/>
        <charset val="134"/>
      </rPr>
      <t xml:space="preserve">
(与末期月供一起支付）</t>
    </r>
    <phoneticPr fontId="1" type="noConversion"/>
  </si>
  <si>
    <t>60期智慧贷还满24期提前还款测算参考：</t>
    <phoneticPr fontId="33" type="noConversion"/>
  </si>
  <si>
    <t>可节省利息</t>
    <phoneticPr fontId="49" type="noConversion"/>
  </si>
  <si>
    <t>还款方式-3</t>
    <phoneticPr fontId="1" type="noConversion"/>
  </si>
  <si>
    <t>25款世纪_4座私享版</t>
  </si>
  <si>
    <r>
      <t>车型</t>
    </r>
    <r>
      <rPr>
        <b/>
        <sz val="12"/>
        <color rgb="FFFF0000"/>
        <rFont val="微软雅黑"/>
        <family val="2"/>
        <charset val="134"/>
      </rPr>
      <t>*</t>
    </r>
    <phoneticPr fontId="1" type="noConversion"/>
  </si>
  <si>
    <t>_25款世纪</t>
    <phoneticPr fontId="1" type="noConversion"/>
  </si>
  <si>
    <t>全新GL8 ES 陆尊 智享版</t>
  </si>
  <si>
    <t>全新GL8 ES 陆尊 尊享版</t>
  </si>
  <si>
    <t>需至少打包的附加品金额：</t>
    <phoneticPr fontId="33" type="noConversion"/>
  </si>
  <si>
    <t>可申请的最低首付比例：</t>
    <phoneticPr fontId="1" type="noConversion"/>
  </si>
  <si>
    <t>需符合附加品上限要求</t>
    <phoneticPr fontId="1" type="noConversion"/>
  </si>
  <si>
    <t>厂贴方案简述</t>
    <phoneticPr fontId="1" type="noConversion"/>
  </si>
  <si>
    <t>厂贴方案
有效期</t>
    <phoneticPr fontId="1" type="noConversion"/>
  </si>
  <si>
    <t>25款世纪 7座臻享版</t>
  </si>
  <si>
    <t>25款世纪_6座/7座蕴世版</t>
  </si>
  <si>
    <t>微蓝6 450KM舒享PLUS版 纯电动 新能源</t>
  </si>
  <si>
    <t>威朗Pro 乐享版</t>
  </si>
  <si>
    <t>GL8 陆尊 PHEV 智享版 新能源</t>
  </si>
  <si>
    <t>GL8 陆尊 PHEV 尊享版 新能源</t>
  </si>
  <si>
    <t>GL8 陆尊 PHEV 六座奢享版 新能源</t>
  </si>
  <si>
    <t>GL8 陆尊 PHEV 七座奢享版 新能源</t>
  </si>
  <si>
    <t>微蓝6 450KM越享PLUS版 纯电动 新能源</t>
  </si>
  <si>
    <t>威朗Pro 乐行版</t>
  </si>
  <si>
    <t>威朗Pro 乐趣版</t>
  </si>
  <si>
    <t>威朗Pro 乐逸版</t>
  </si>
  <si>
    <t>威朗Pro GS 追风版</t>
  </si>
  <si>
    <t>威朗Pro GS 疾风版</t>
  </si>
  <si>
    <t>利率</t>
    <phoneticPr fontId="1" type="noConversion"/>
  </si>
  <si>
    <t>车系</t>
    <phoneticPr fontId="1" type="noConversion"/>
  </si>
  <si>
    <t>车型</t>
    <phoneticPr fontId="1" type="noConversion"/>
  </si>
  <si>
    <t>利率参数</t>
    <phoneticPr fontId="1" type="noConversion"/>
  </si>
  <si>
    <t>车系参数</t>
    <phoneticPr fontId="1" type="noConversion"/>
  </si>
  <si>
    <t>陆尊_PHEV</t>
    <phoneticPr fontId="1" type="noConversion"/>
  </si>
  <si>
    <r>
      <t xml:space="preserve">威朗Pro GS 疾风版 17吋 黑色车顶
</t>
    </r>
    <r>
      <rPr>
        <sz val="11"/>
        <color rgb="FF000000"/>
        <rFont val="微软雅黑"/>
        <family val="2"/>
        <charset val="134"/>
      </rPr>
      <t>（仅17寸轮毂的，可选）</t>
    </r>
    <phoneticPr fontId="1" type="noConversion"/>
  </si>
  <si>
    <r>
      <t xml:space="preserve">威朗Pro GS 疾风版 黑色车顶
</t>
    </r>
    <r>
      <rPr>
        <sz val="11"/>
        <color rgb="FF000000"/>
        <rFont val="微软雅黑"/>
        <family val="2"/>
        <charset val="134"/>
      </rPr>
      <t>（疾风版黑色车顶，都选此项）</t>
    </r>
    <phoneticPr fontId="1" type="noConversion"/>
  </si>
  <si>
    <r>
      <t xml:space="preserve">威朗Pro GS 猎风版 黑色车顶
</t>
    </r>
    <r>
      <rPr>
        <sz val="11"/>
        <color rgb="FF000000"/>
        <rFont val="微软雅黑"/>
        <family val="2"/>
        <charset val="134"/>
      </rPr>
      <t>（猎风版黑色车顶，都选此项）</t>
    </r>
    <phoneticPr fontId="1" type="noConversion"/>
  </si>
  <si>
    <r>
      <t xml:space="preserve">威朗Pro GS 追风版 黑色车顶
</t>
    </r>
    <r>
      <rPr>
        <sz val="11"/>
        <color rgb="FF000000"/>
        <rFont val="微软雅黑"/>
        <family val="2"/>
        <charset val="134"/>
      </rPr>
      <t>（追风版黑色车顶，都选此项）</t>
    </r>
    <phoneticPr fontId="1" type="noConversion"/>
  </si>
  <si>
    <t>威朗Pro GS 追风版 黑色车顶
（追风版黑色车顶，都选此项）</t>
  </si>
  <si>
    <t>威朗Pro GS 猎风版 黑色车顶
（猎风版黑色车顶，都选此项）</t>
  </si>
  <si>
    <t>威朗Pro GS 疾风版 黑色车顶
（疾风版黑色车顶，都选此项）</t>
  </si>
  <si>
    <t>威朗Pro GS 疾风版 17吋 黑色车顶
（仅17寸轮毂的，可选）</t>
  </si>
  <si>
    <t>还款方式-4</t>
    <phoneticPr fontId="1" type="noConversion"/>
  </si>
  <si>
    <t>25款世纪贷款金额上限：</t>
    <phoneticPr fontId="1" type="noConversion"/>
  </si>
  <si>
    <t>最低首付比例</t>
    <phoneticPr fontId="1" type="noConversion"/>
  </si>
  <si>
    <t>智慧贷</t>
    <phoneticPr fontId="1" type="noConversion"/>
  </si>
  <si>
    <t>36期</t>
  </si>
  <si>
    <t>24期</t>
  </si>
  <si>
    <t>18期</t>
  </si>
  <si>
    <t>12期</t>
  </si>
  <si>
    <t>48期</t>
  </si>
  <si>
    <t>60期</t>
  </si>
  <si>
    <t>员工车</t>
    <phoneticPr fontId="1" type="noConversion"/>
  </si>
  <si>
    <t>等额本息</t>
    <phoneticPr fontId="1" type="noConversion"/>
  </si>
  <si>
    <t>主机厂员工适用要求：</t>
    <phoneticPr fontId="1" type="noConversion"/>
  </si>
  <si>
    <r>
      <rPr>
        <b/>
        <sz val="14"/>
        <color theme="1"/>
        <rFont val="微软雅黑"/>
        <family val="2"/>
        <charset val="134"/>
      </rPr>
      <t>申请人资格：</t>
    </r>
    <r>
      <rPr>
        <sz val="14"/>
        <color theme="1"/>
        <rFont val="微软雅黑"/>
        <family val="2"/>
        <charset val="134"/>
      </rPr>
      <t xml:space="preserve">通用汽车（中国）公司、上海汽车集团本部、上汽财务、上汽通用汽车、上汽通用五菱以及上汽通用汽车金融有限责任公司在职的正式员工（不包括退休及试用期员工，劳务派遣制员工是否符合准入资格，以上述公司内部具体认定为准）
</t>
    </r>
    <r>
      <rPr>
        <b/>
        <sz val="14"/>
        <color theme="1"/>
        <rFont val="微软雅黑"/>
        <family val="2"/>
        <charset val="134"/>
      </rPr>
      <t>购车限制：</t>
    </r>
    <r>
      <rPr>
        <sz val="14"/>
        <color theme="1"/>
        <rFont val="微软雅黑"/>
        <family val="2"/>
        <charset val="134"/>
      </rPr>
      <t xml:space="preserve">
</t>
    </r>
    <r>
      <rPr>
        <sz val="14"/>
        <color theme="1"/>
        <rFont val="方正舒体"/>
        <family val="3"/>
        <charset val="134"/>
      </rPr>
      <t>①</t>
    </r>
    <r>
      <rPr>
        <sz val="14"/>
        <color theme="1"/>
        <rFont val="微软雅黑"/>
        <family val="2"/>
        <charset val="134"/>
      </rPr>
      <t xml:space="preserve">通用汽车（中国）公司，上海汽车集团本部，上汽财务，上汽通用汽车，上汽通用五菱员工：仅可购买上汽通用和上汽通用五菱的所有新车
②SAIC-GMAC员工：可购买所有厂牌的任意新车及二手车
</t>
    </r>
    <r>
      <rPr>
        <b/>
        <sz val="14"/>
        <color theme="1"/>
        <rFont val="微软雅黑"/>
        <family val="2"/>
        <charset val="134"/>
      </rPr>
      <t>贷前资料要求：</t>
    </r>
    <r>
      <rPr>
        <b/>
        <sz val="14"/>
        <color rgb="FFC00000"/>
        <rFont val="微软雅黑"/>
        <family val="2"/>
        <charset val="134"/>
      </rPr>
      <t>提供《工作证》+</t>
    </r>
    <r>
      <rPr>
        <b/>
        <u/>
        <sz val="14"/>
        <color rgb="FFC00000"/>
        <rFont val="微软雅黑"/>
        <family val="2"/>
        <charset val="134"/>
      </rPr>
      <t>《购车申请表》</t>
    </r>
    <r>
      <rPr>
        <u/>
        <sz val="14"/>
        <color theme="1"/>
        <rFont val="微软雅黑"/>
        <family val="2"/>
        <charset val="134"/>
      </rPr>
      <t>（注：上汽通用汽车主机厂员工必须提供，样式如右图）</t>
    </r>
    <r>
      <rPr>
        <sz val="14"/>
        <color theme="1"/>
        <rFont val="微软雅黑"/>
        <family val="2"/>
        <charset val="134"/>
      </rPr>
      <t xml:space="preserve">
支持申请免抵押（以后台审批结果为准）
</t>
    </r>
    <phoneticPr fontId="1" type="noConversion"/>
  </si>
  <si>
    <t>*经销商贴息需填写在系统的‘经销商补贴金额’处</t>
    <phoneticPr fontId="1" type="noConversion"/>
  </si>
  <si>
    <t>非厂贴方案</t>
    <phoneticPr fontId="1" type="noConversion"/>
  </si>
  <si>
    <t>产品基础参数参考：</t>
    <phoneticPr fontId="1" type="noConversion"/>
  </si>
  <si>
    <t>附加品贷款要求：</t>
    <phoneticPr fontId="33" type="noConversion"/>
  </si>
  <si>
    <t>用途</t>
    <phoneticPr fontId="1" type="noConversion"/>
  </si>
  <si>
    <t>产品类别</t>
    <phoneticPr fontId="1" type="noConversion"/>
  </si>
  <si>
    <t>贷款期限</t>
    <phoneticPr fontId="1" type="noConversion"/>
  </si>
  <si>
    <t>贷款类型</t>
  </si>
  <si>
    <t>附加品项目</t>
    <phoneticPr fontId="33" type="noConversion"/>
  </si>
  <si>
    <t>个人
自用</t>
    <phoneticPr fontId="1" type="noConversion"/>
  </si>
  <si>
    <r>
      <rPr>
        <b/>
        <sz val="16"/>
        <color theme="1"/>
        <rFont val="微软雅黑"/>
        <family val="2"/>
        <charset val="134"/>
      </rPr>
      <t>新优速贷</t>
    </r>
    <r>
      <rPr>
        <sz val="11"/>
        <color theme="1"/>
        <rFont val="微软雅黑"/>
        <family val="2"/>
        <charset val="134"/>
      </rPr>
      <t/>
    </r>
    <phoneticPr fontId="1" type="noConversion"/>
  </si>
  <si>
    <t>20%起
（新能源新车15%起）</t>
    <phoneticPr fontId="1" type="noConversion"/>
  </si>
  <si>
    <t xml:space="preserve">12-60期 </t>
    <phoneticPr fontId="1" type="noConversion"/>
  </si>
  <si>
    <t>不超过
车辆市场指导价的115%</t>
    <phoneticPr fontId="1" type="noConversion"/>
  </si>
  <si>
    <t xml:space="preserve">     - 包含“标准附加品”的经销商附加品和服务的合计金额上限为“车辆发票价的18%”或“3.5万”两者孰低；
     - 不包含“标准附加品”的经销商附加品和服务的合计金额上限为“车辆发票价的15%”或“3万”两者孰低。</t>
    <phoneticPr fontId="33" type="noConversion"/>
  </si>
  <si>
    <t>2.5万起</t>
    <phoneticPr fontId="1" type="noConversion"/>
  </si>
  <si>
    <t>20%起</t>
    <phoneticPr fontId="1" type="noConversion"/>
  </si>
  <si>
    <t>2.5-50万</t>
    <phoneticPr fontId="1" type="noConversion"/>
  </si>
  <si>
    <t>非厂贴
（新通用）</t>
    <phoneticPr fontId="1" type="noConversion"/>
  </si>
  <si>
    <t>车辆开票价的10%或者3万孰低</t>
    <phoneticPr fontId="1" type="noConversion"/>
  </si>
  <si>
    <r>
      <t xml:space="preserve">X-433分段式
</t>
    </r>
    <r>
      <rPr>
        <sz val="9"/>
        <color theme="1"/>
        <rFont val="微软雅黑"/>
        <family val="2"/>
        <charset val="134"/>
      </rPr>
      <t>（每月偿还利息，每12个月偿还利息时再分别偿还</t>
    </r>
    <r>
      <rPr>
        <sz val="9"/>
        <color rgb="FFFF0000"/>
        <rFont val="微软雅黑"/>
        <family val="2"/>
        <charset val="134"/>
      </rPr>
      <t>贷款本金</t>
    </r>
    <r>
      <rPr>
        <sz val="9"/>
        <color theme="1"/>
        <rFont val="微软雅黑"/>
        <family val="2"/>
        <charset val="134"/>
      </rPr>
      <t>的40%、30%、30%）</t>
    </r>
    <phoneticPr fontId="1" type="noConversion"/>
  </si>
  <si>
    <r>
      <t xml:space="preserve">6666分段式
</t>
    </r>
    <r>
      <rPr>
        <sz val="9"/>
        <color theme="1"/>
        <rFont val="微软雅黑"/>
        <family val="2"/>
        <charset val="134"/>
      </rPr>
      <t>（每月偿还利息，每6个月偿还利息时再偿还</t>
    </r>
    <r>
      <rPr>
        <sz val="9"/>
        <color rgb="FFFF0000"/>
        <rFont val="微软雅黑"/>
        <family val="2"/>
        <charset val="134"/>
      </rPr>
      <t>贷款本金</t>
    </r>
    <r>
      <rPr>
        <sz val="9"/>
        <color theme="1"/>
        <rFont val="微软雅黑"/>
        <family val="2"/>
        <charset val="134"/>
      </rPr>
      <t>的25%）</t>
    </r>
    <phoneticPr fontId="1" type="noConversion"/>
  </si>
  <si>
    <r>
      <t xml:space="preserve">433分段式
</t>
    </r>
    <r>
      <rPr>
        <sz val="9"/>
        <color theme="1"/>
        <rFont val="微软雅黑"/>
        <family val="2"/>
        <charset val="134"/>
      </rPr>
      <t>（每月偿还利息，每12个月偿还利息时再偿还</t>
    </r>
    <r>
      <rPr>
        <sz val="9"/>
        <color rgb="FFFF0000"/>
        <rFont val="微软雅黑"/>
        <family val="2"/>
        <charset val="134"/>
      </rPr>
      <t>总价</t>
    </r>
    <r>
      <rPr>
        <sz val="9"/>
        <color theme="1"/>
        <rFont val="微软雅黑"/>
        <family val="2"/>
        <charset val="134"/>
      </rPr>
      <t>的30%）</t>
    </r>
    <phoneticPr fontId="1" type="noConversion"/>
  </si>
  <si>
    <t>个体户
自用</t>
    <phoneticPr fontId="1" type="noConversion"/>
  </si>
  <si>
    <r>
      <rPr>
        <b/>
        <sz val="11"/>
        <color theme="1"/>
        <rFont val="微软雅黑"/>
        <family val="2"/>
        <charset val="134"/>
      </rPr>
      <t>个体工商户</t>
    </r>
    <r>
      <rPr>
        <sz val="11"/>
        <color theme="1"/>
        <rFont val="微软雅黑"/>
        <family val="2"/>
        <charset val="134"/>
      </rPr>
      <t xml:space="preserve">
</t>
    </r>
    <r>
      <rPr>
        <sz val="9"/>
        <color theme="1"/>
        <rFont val="微软雅黑"/>
        <family val="2"/>
        <charset val="134"/>
      </rPr>
      <t>（适用城市范围详见“准入政策”页）</t>
    </r>
    <phoneticPr fontId="1" type="noConversion"/>
  </si>
  <si>
    <t>30%起
（新能源新车25%起）</t>
    <phoneticPr fontId="1" type="noConversion"/>
  </si>
  <si>
    <t>12-60期</t>
    <phoneticPr fontId="1" type="noConversion"/>
  </si>
  <si>
    <r>
      <t>2.5-</t>
    </r>
    <r>
      <rPr>
        <b/>
        <sz val="14"/>
        <color rgb="FFFF0000"/>
        <rFont val="微软雅黑"/>
        <family val="2"/>
        <charset val="134"/>
      </rPr>
      <t>30万</t>
    </r>
    <phoneticPr fontId="1" type="noConversion"/>
  </si>
  <si>
    <r>
      <t xml:space="preserve">个体工商户升级
</t>
    </r>
    <r>
      <rPr>
        <sz val="9"/>
        <color theme="1"/>
        <rFont val="微软雅黑"/>
        <family val="2"/>
        <charset val="134"/>
      </rPr>
      <t>（适用城市范围详见“准入政策”页）</t>
    </r>
    <phoneticPr fontId="1" type="noConversion"/>
  </si>
  <si>
    <t>企业
自用</t>
    <phoneticPr fontId="1" type="noConversion"/>
  </si>
  <si>
    <t>新公牌易贷5050</t>
    <phoneticPr fontId="1" type="noConversion"/>
  </si>
  <si>
    <t>新公牌易贷</t>
    <phoneticPr fontId="1" type="noConversion"/>
  </si>
  <si>
    <t>2.5万起
（多台申请累计贷款额度上限170万）</t>
    <phoneticPr fontId="1" type="noConversion"/>
  </si>
  <si>
    <t>企业
商用</t>
    <phoneticPr fontId="1" type="noConversion"/>
  </si>
  <si>
    <t>营运_租赁</t>
    <phoneticPr fontId="1" type="noConversion"/>
  </si>
  <si>
    <t>营运_客运公司</t>
    <phoneticPr fontId="33" type="noConversion"/>
  </si>
  <si>
    <t>注：促销产品如对期限/首付/贷款金额等有特殊要求，请以促销产品说明为准。</t>
    <phoneticPr fontId="1" type="noConversion"/>
  </si>
  <si>
    <t>准入政策参考：</t>
    <phoneticPr fontId="1" type="noConversion"/>
  </si>
  <si>
    <t>累计贷款金额</t>
  </si>
  <si>
    <t>客户准入要求</t>
    <phoneticPr fontId="1" type="noConversion"/>
  </si>
  <si>
    <t>预审资料</t>
    <phoneticPr fontId="1" type="noConversion"/>
  </si>
  <si>
    <t>&lt;=50万</t>
    <phoneticPr fontId="1" type="noConversion"/>
  </si>
  <si>
    <t xml:space="preserve"> - 公司营业执照+公章
 - 法定代表人身份证（股东担保时，可接受法人签章代替法人签字）
 -  担保人身份证
 - 持股大于等于25%的股东身份证件（如股东为非自然人 ，提供营业执照）及受益所有人身份证件</t>
    <phoneticPr fontId="1" type="noConversion"/>
  </si>
  <si>
    <t xml:space="preserve"> / </t>
    <phoneticPr fontId="1" type="noConversion"/>
  </si>
  <si>
    <r>
      <t xml:space="preserve">50-75万
</t>
    </r>
    <r>
      <rPr>
        <sz val="10.5"/>
        <color theme="1"/>
        <rFont val="微软雅黑"/>
        <family val="2"/>
        <charset val="134"/>
      </rPr>
      <t xml:space="preserve">
（&gt;50万，且&lt;=75万）</t>
    </r>
    <phoneticPr fontId="1" type="noConversion"/>
  </si>
  <si>
    <t>银行流水、房产资料</t>
    <phoneticPr fontId="1" type="noConversion"/>
  </si>
  <si>
    <r>
      <t xml:space="preserve">标准产品
</t>
    </r>
    <r>
      <rPr>
        <sz val="10"/>
        <rFont val="微软雅黑"/>
        <family val="2"/>
        <charset val="134"/>
      </rPr>
      <t>（即等额本息）</t>
    </r>
    <phoneticPr fontId="1" type="noConversion"/>
  </si>
  <si>
    <t>自有房产，或提供有本地房产的亲朋做担保
（需提供收入及房产证明类材料）</t>
  </si>
  <si>
    <r>
      <t xml:space="preserve">75-170万
</t>
    </r>
    <r>
      <rPr>
        <sz val="10.5"/>
        <color theme="1"/>
        <rFont val="微软雅黑"/>
        <family val="2"/>
        <charset val="134"/>
      </rPr>
      <t>（&gt;75万，且&lt;=170万）</t>
    </r>
    <phoneticPr fontId="1" type="noConversion"/>
  </si>
  <si>
    <t>银行流水、房产资料、
财务报表、完税凭证、
公司章程或验资报告等</t>
    <phoneticPr fontId="1" type="noConversion"/>
  </si>
  <si>
    <r>
      <rPr>
        <b/>
        <sz val="18"/>
        <color rgb="FFFFFF00"/>
        <rFont val="幼圆"/>
        <family val="3"/>
        <charset val="134"/>
      </rPr>
      <t>个体户-自用</t>
    </r>
    <r>
      <rPr>
        <b/>
        <sz val="11"/>
        <color rgb="FFFFFF00"/>
        <rFont val="微软雅黑"/>
        <family val="2"/>
        <charset val="134"/>
      </rPr>
      <t>（个体户公司申请，上个体户公司牌照）</t>
    </r>
    <r>
      <rPr>
        <b/>
        <sz val="11"/>
        <color theme="0"/>
        <rFont val="微软雅黑"/>
        <family val="2"/>
        <charset val="134"/>
      </rPr>
      <t>-准入政策</t>
    </r>
    <phoneticPr fontId="1" type="noConversion"/>
  </si>
  <si>
    <t>累计台数及贷款金额</t>
  </si>
  <si>
    <r>
      <rPr>
        <b/>
        <sz val="18"/>
        <color rgb="FFFFFF00"/>
        <rFont val="幼圆"/>
        <family val="3"/>
        <charset val="134"/>
      </rPr>
      <t>个体户升级-自用</t>
    </r>
    <r>
      <rPr>
        <b/>
        <sz val="11"/>
        <color rgb="FFFFFF00"/>
        <rFont val="微软雅黑"/>
        <family val="2"/>
        <charset val="134"/>
      </rPr>
      <t>（个体户经营者申请，上个体户公司牌照）</t>
    </r>
    <r>
      <rPr>
        <b/>
        <sz val="11"/>
        <color theme="0"/>
        <rFont val="微软雅黑"/>
        <family val="2"/>
        <charset val="134"/>
      </rPr>
      <t>-准入政策：</t>
    </r>
    <phoneticPr fontId="1" type="noConversion"/>
  </si>
  <si>
    <t>&lt;=5台，
且累计贷款金额&lt;=50万</t>
    <phoneticPr fontId="1" type="noConversion"/>
  </si>
  <si>
    <r>
      <t xml:space="preserve"> - 公司营业执照+公章
 - 法定代表人身份证（股东担保时，可接受法人签章代替法人签字）
 -  担保人身份证、持股大于等于25%的股东身份证件（如股东为非自然人 ，提供营业执照）及受益所有人身份证件
注：</t>
    </r>
    <r>
      <rPr>
        <b/>
        <sz val="10"/>
        <rFont val="微软雅黑"/>
        <family val="2"/>
        <charset val="134"/>
      </rPr>
      <t>“客运公司”还需提供道路运输经营许可证</t>
    </r>
    <phoneticPr fontId="1" type="noConversion"/>
  </si>
  <si>
    <t>/</t>
  </si>
  <si>
    <t>&gt;5台，
且累计贷款金额&lt;=50万</t>
    <phoneticPr fontId="1" type="noConversion"/>
  </si>
  <si>
    <t>累计贷款金额&gt;50万
（但不超过170万）</t>
    <phoneticPr fontId="1" type="noConversion"/>
  </si>
  <si>
    <t>注：公司申请支持企业名下招行/农行/工行的账号进行扣款授权，同时也可支持使用担保人名下（工农建招邮储）银行卡进行扣款授权（客户可根据自身需要二选其一）</t>
    <phoneticPr fontId="1" type="noConversion"/>
  </si>
  <si>
    <r>
      <rPr>
        <b/>
        <sz val="18"/>
        <color rgb="FFFFFF00"/>
        <rFont val="幼圆"/>
        <family val="3"/>
        <charset val="134"/>
      </rPr>
      <t>个人自用</t>
    </r>
    <r>
      <rPr>
        <b/>
        <sz val="11"/>
        <color rgb="FFFFFF00"/>
        <rFont val="微软雅黑"/>
        <family val="2"/>
        <charset val="134"/>
      </rPr>
      <t>（个人申请，上个人牌照）</t>
    </r>
    <r>
      <rPr>
        <b/>
        <sz val="11"/>
        <color theme="0"/>
        <rFont val="微软雅黑"/>
        <family val="2"/>
        <charset val="134"/>
      </rPr>
      <t>-准入政策汇总</t>
    </r>
    <phoneticPr fontId="1" type="noConversion"/>
  </si>
  <si>
    <t>不含“保值焕新”上限：</t>
    <phoneticPr fontId="1" type="noConversion"/>
  </si>
  <si>
    <t>含“保值焕新”上限：</t>
    <phoneticPr fontId="1" type="noConversion"/>
  </si>
  <si>
    <t>车辆最高贷款金额</t>
    <phoneticPr fontId="1" type="noConversion"/>
  </si>
  <si>
    <t>附加品最高贷款金额</t>
    <phoneticPr fontId="1" type="noConversion"/>
  </si>
  <si>
    <t>最高贷款金额</t>
    <phoneticPr fontId="1" type="noConversion"/>
  </si>
  <si>
    <t>* 本工具测算仅支持：新能源车个人自用且首付比例低于20%的附加贷</t>
    <phoneticPr fontId="1" type="noConversion"/>
  </si>
  <si>
    <r>
      <t>年化利率</t>
    </r>
    <r>
      <rPr>
        <b/>
        <sz val="11"/>
        <color rgb="FFFF0000"/>
        <rFont val="微软雅黑"/>
        <family val="2"/>
        <charset val="134"/>
      </rPr>
      <t>*</t>
    </r>
    <phoneticPr fontId="1" type="noConversion"/>
  </si>
  <si>
    <t>新能源15%起，燃油车20%起</t>
    <phoneticPr fontId="1" type="noConversion"/>
  </si>
  <si>
    <t>客户总利息</t>
    <phoneticPr fontId="1" type="noConversion"/>
  </si>
  <si>
    <t>系统操作产品选项</t>
    <phoneticPr fontId="1" type="noConversion"/>
  </si>
  <si>
    <t>*经销商贴息需填写在E速通系统的
‘经销商补贴金额’处</t>
    <phoneticPr fontId="1" type="noConversion"/>
  </si>
  <si>
    <t>首付</t>
    <phoneticPr fontId="1" type="noConversion"/>
  </si>
  <si>
    <t>经销商贴息
（不支持）</t>
    <phoneticPr fontId="1" type="noConversion"/>
  </si>
  <si>
    <t>5050
智慧式</t>
    <phoneticPr fontId="1" type="noConversion"/>
  </si>
  <si>
    <t>本金</t>
    <phoneticPr fontId="1" type="noConversion"/>
  </si>
  <si>
    <t>月利息</t>
    <phoneticPr fontId="1" type="noConversion"/>
  </si>
  <si>
    <t>433
分段式</t>
    <phoneticPr fontId="1" type="noConversion"/>
  </si>
  <si>
    <t>1-11期</t>
    <phoneticPr fontId="1" type="noConversion"/>
  </si>
  <si>
    <t>13-23期</t>
    <phoneticPr fontId="1" type="noConversion"/>
  </si>
  <si>
    <t>X-433
分段式</t>
    <phoneticPr fontId="1" type="noConversion"/>
  </si>
  <si>
    <t>25-35期</t>
    <phoneticPr fontId="1" type="noConversion"/>
  </si>
  <si>
    <t>不支持经销商贴息</t>
    <phoneticPr fontId="1" type="noConversion"/>
  </si>
  <si>
    <t>经销商贴息100元起</t>
    <phoneticPr fontId="1" type="noConversion"/>
  </si>
  <si>
    <t>新通用-非厂商贴息</t>
    <phoneticPr fontId="1" type="noConversion"/>
  </si>
  <si>
    <t>新通用-经销商贴息</t>
    <phoneticPr fontId="1" type="noConversion"/>
  </si>
  <si>
    <t>新通用</t>
    <phoneticPr fontId="1" type="noConversion"/>
  </si>
  <si>
    <t>等额本息类</t>
    <phoneticPr fontId="1" type="noConversion"/>
  </si>
  <si>
    <t>智慧式</t>
    <phoneticPr fontId="1" type="noConversion"/>
  </si>
  <si>
    <t>X433</t>
    <phoneticPr fontId="1" type="noConversion"/>
  </si>
  <si>
    <t>新通用非厂商贴息 智慧贷12-36期 10.9%</t>
    <phoneticPr fontId="1" type="noConversion"/>
  </si>
  <si>
    <t>新通用非厂商贴息 5050 10.9%</t>
    <phoneticPr fontId="1" type="noConversion"/>
  </si>
  <si>
    <t>企业申请：新通用经销商贴息 新公牌易贷5050 10.9%</t>
    <phoneticPr fontId="1" type="noConversion"/>
  </si>
  <si>
    <t>经销商贴息</t>
    <phoneticPr fontId="1" type="noConversion"/>
  </si>
  <si>
    <t>非厂商贴息</t>
    <phoneticPr fontId="1" type="noConversion"/>
  </si>
  <si>
    <t>企业申请：新通用经销商贴息 新公牌易贷5050 8.98%</t>
    <phoneticPr fontId="1" type="noConversion"/>
  </si>
  <si>
    <t>新通用非厂商贴息 433分段式 8.98%</t>
    <phoneticPr fontId="1" type="noConversion"/>
  </si>
  <si>
    <t>新通用非厂商贴息 X433分段式 8.98%</t>
    <phoneticPr fontId="1" type="noConversion"/>
  </si>
  <si>
    <t>新通用非厂商贴息 5050 8.98%</t>
    <phoneticPr fontId="1" type="noConversion"/>
  </si>
  <si>
    <t>新通用非厂商贴息 智慧贷48-60期 8.98%</t>
    <phoneticPr fontId="1" type="noConversion"/>
  </si>
  <si>
    <t>个人申请：新通用非厂商贴息 5050 9.9%
公司申请：新通用非厂商贴息_新公牌易贷5050 9.9%</t>
    <phoneticPr fontId="1" type="noConversion"/>
  </si>
  <si>
    <t>企业申请：新通用经销商贴息 新公牌易贷5050 9.9%</t>
    <phoneticPr fontId="1" type="noConversion"/>
  </si>
  <si>
    <t>新双优贷_SGM非贴息_新优速贷_60期利率9.7%_全国</t>
  </si>
  <si>
    <t>新双优贷_SGM经销商贴息_新优速贷_60期利率9.7%_全国</t>
  </si>
  <si>
    <t>还款方式-5</t>
    <phoneticPr fontId="1" type="noConversion"/>
  </si>
  <si>
    <t>客户试算月供</t>
    <phoneticPr fontId="1" type="noConversion"/>
  </si>
  <si>
    <t>非厂贴试算页链接</t>
    <phoneticPr fontId="1" type="noConversion"/>
  </si>
  <si>
    <t>说明</t>
    <phoneticPr fontId="1" type="noConversion"/>
  </si>
  <si>
    <t>方案有效期</t>
    <phoneticPr fontId="1" type="noConversion"/>
  </si>
  <si>
    <t>适用车系</t>
    <phoneticPr fontId="1" type="noConversion"/>
  </si>
  <si>
    <t>别克品牌
所有新车</t>
    <phoneticPr fontId="1" type="noConversion"/>
  </si>
  <si>
    <t>厂贴车型明细&amp;贷款金额说明</t>
    <phoneticPr fontId="1" type="noConversion"/>
  </si>
  <si>
    <t>参考链接</t>
    <phoneticPr fontId="1" type="noConversion"/>
  </si>
  <si>
    <t>产品基础参数&amp;准入政策</t>
    <phoneticPr fontId="1" type="noConversion"/>
  </si>
  <si>
    <t>A</t>
    <phoneticPr fontId="1" type="noConversion"/>
  </si>
  <si>
    <t>B</t>
    <phoneticPr fontId="1" type="noConversion"/>
  </si>
  <si>
    <r>
      <t>贷款金额</t>
    </r>
    <r>
      <rPr>
        <b/>
        <sz val="10"/>
        <color rgb="FFFF0000"/>
        <rFont val="微软雅黑"/>
        <family val="2"/>
        <charset val="134"/>
      </rPr>
      <t>*</t>
    </r>
    <phoneticPr fontId="1" type="noConversion"/>
  </si>
  <si>
    <r>
      <rPr>
        <b/>
        <sz val="12"/>
        <color theme="1"/>
        <rFont val="微软雅黑"/>
        <family val="2"/>
        <charset val="134"/>
      </rPr>
      <t>新优速贷</t>
    </r>
    <r>
      <rPr>
        <b/>
        <sz val="10"/>
        <color theme="1"/>
        <rFont val="微软雅黑"/>
        <family val="2"/>
        <charset val="134"/>
      </rPr>
      <t>/智慧贷/5050
6666/X-433/433</t>
    </r>
    <phoneticPr fontId="33" type="noConversion"/>
  </si>
  <si>
    <t>客户准入政策</t>
    <phoneticPr fontId="1" type="noConversion"/>
  </si>
  <si>
    <r>
      <t xml:space="preserve">新能源
首付低于20%
附加贷
最高贷款金额
</t>
    </r>
    <r>
      <rPr>
        <sz val="10"/>
        <rFont val="微软雅黑"/>
        <family val="2"/>
        <charset val="134"/>
      </rPr>
      <t>测算</t>
    </r>
    <phoneticPr fontId="1" type="noConversion"/>
  </si>
  <si>
    <r>
      <rPr>
        <b/>
        <sz val="10"/>
        <color theme="1"/>
        <rFont val="微软雅黑"/>
        <family val="2"/>
        <charset val="134"/>
      </rPr>
      <t>MSRP</t>
    </r>
    <r>
      <rPr>
        <sz val="10"/>
        <color theme="1"/>
        <rFont val="微软雅黑"/>
        <family val="2"/>
        <charset val="134"/>
      </rPr>
      <t xml:space="preserve">
（市场指导价）</t>
    </r>
    <phoneticPr fontId="1" type="noConversion"/>
  </si>
  <si>
    <t>总价上限MSRP*115%：</t>
    <phoneticPr fontId="1" type="noConversion"/>
  </si>
  <si>
    <t>新能源首付低于20%时 最高贷款金额测算</t>
    <phoneticPr fontId="1" type="noConversion"/>
  </si>
  <si>
    <r>
      <rPr>
        <b/>
        <sz val="10"/>
        <color theme="1"/>
        <rFont val="微软雅黑"/>
        <family val="2"/>
        <charset val="134"/>
      </rPr>
      <t>TP</t>
    </r>
    <r>
      <rPr>
        <sz val="10"/>
        <color theme="1"/>
        <rFont val="微软雅黑"/>
        <family val="2"/>
        <charset val="134"/>
      </rPr>
      <t xml:space="preserve">
（车辆开票价）</t>
    </r>
    <phoneticPr fontId="1" type="noConversion"/>
  </si>
  <si>
    <r>
      <t>加融</t>
    </r>
    <r>
      <rPr>
        <b/>
        <sz val="10"/>
        <color theme="1"/>
        <rFont val="微软雅黑"/>
        <family val="2"/>
        <charset val="134"/>
      </rPr>
      <t>经销商附加品金额</t>
    </r>
    <phoneticPr fontId="1" type="noConversion"/>
  </si>
  <si>
    <r>
      <t>加融</t>
    </r>
    <r>
      <rPr>
        <b/>
        <sz val="10"/>
        <color theme="1"/>
        <rFont val="微软雅黑"/>
        <family val="2"/>
        <charset val="134"/>
      </rPr>
      <t>车辆保险金额</t>
    </r>
    <phoneticPr fontId="1" type="noConversion"/>
  </si>
  <si>
    <t>总价金额</t>
    <phoneticPr fontId="1" type="noConversion"/>
  </si>
  <si>
    <r>
      <t>经销商贴息</t>
    </r>
    <r>
      <rPr>
        <sz val="11"/>
        <color rgb="FFFF0000"/>
        <rFont val="微软雅黑"/>
        <family val="2"/>
        <charset val="134"/>
      </rPr>
      <t>*</t>
    </r>
    <r>
      <rPr>
        <sz val="11"/>
        <rFont val="微软雅黑"/>
        <family val="2"/>
        <charset val="134"/>
      </rPr>
      <t xml:space="preserve">
</t>
    </r>
    <r>
      <rPr>
        <sz val="11"/>
        <color rgb="FFFF0000"/>
        <rFont val="微软雅黑"/>
        <family val="2"/>
        <charset val="134"/>
      </rPr>
      <t>（100元起）</t>
    </r>
    <phoneticPr fontId="1" type="noConversion"/>
  </si>
  <si>
    <t>标准产品（即等额本息）</t>
    <phoneticPr fontId="1" type="noConversion"/>
  </si>
  <si>
    <r>
      <t xml:space="preserve">智慧贷
</t>
    </r>
    <r>
      <rPr>
        <sz val="9"/>
        <color theme="1"/>
        <rFont val="微软雅黑"/>
        <family val="2"/>
        <charset val="134"/>
      </rPr>
      <t>（12-36期尾款：</t>
    </r>
    <r>
      <rPr>
        <sz val="9"/>
        <color rgb="FFFF0000"/>
        <rFont val="微软雅黑"/>
        <family val="2"/>
        <charset val="134"/>
      </rPr>
      <t>总价</t>
    </r>
    <r>
      <rPr>
        <sz val="9"/>
        <color theme="1"/>
        <rFont val="微软雅黑"/>
        <family val="2"/>
        <charset val="134"/>
      </rPr>
      <t>*30%，48/60期尾款：</t>
    </r>
    <r>
      <rPr>
        <sz val="9"/>
        <color rgb="FFFF0000"/>
        <rFont val="微软雅黑"/>
        <family val="2"/>
        <charset val="134"/>
      </rPr>
      <t>总价</t>
    </r>
    <r>
      <rPr>
        <sz val="9"/>
        <color theme="1"/>
        <rFont val="微软雅黑"/>
        <family val="2"/>
        <charset val="134"/>
      </rPr>
      <t>*20%）</t>
    </r>
    <phoneticPr fontId="1" type="noConversion"/>
  </si>
  <si>
    <r>
      <t xml:space="preserve">5050
</t>
    </r>
    <r>
      <rPr>
        <sz val="9"/>
        <color theme="1"/>
        <rFont val="微软雅黑"/>
        <family val="2"/>
        <charset val="134"/>
      </rPr>
      <t>（尾款：</t>
    </r>
    <r>
      <rPr>
        <sz val="9"/>
        <color rgb="FFFF0000"/>
        <rFont val="微软雅黑"/>
        <family val="2"/>
        <charset val="134"/>
      </rPr>
      <t>总价</t>
    </r>
    <r>
      <rPr>
        <sz val="9"/>
        <color theme="1"/>
        <rFont val="微软雅黑"/>
        <family val="2"/>
        <charset val="134"/>
      </rPr>
      <t>*50%）</t>
    </r>
    <phoneticPr fontId="1" type="noConversion"/>
  </si>
  <si>
    <t>新君威</t>
    <phoneticPr fontId="1" type="noConversion"/>
  </si>
  <si>
    <r>
      <t>免息贴息比例</t>
    </r>
    <r>
      <rPr>
        <sz val="6"/>
        <color theme="1"/>
        <rFont val="等线"/>
        <family val="3"/>
        <charset val="134"/>
        <scheme val="minor"/>
      </rPr>
      <t>（贷款额)</t>
    </r>
    <phoneticPr fontId="1" type="noConversion"/>
  </si>
  <si>
    <r>
      <t>贷款金额</t>
    </r>
    <r>
      <rPr>
        <b/>
        <sz val="12"/>
        <color rgb="FFFF0000"/>
        <rFont val="微软雅黑"/>
        <family val="2"/>
        <charset val="134"/>
      </rPr>
      <t>*</t>
    </r>
    <phoneticPr fontId="1" type="noConversion"/>
  </si>
  <si>
    <r>
      <t xml:space="preserve">请注意:原“新君威”车型不享受贴息，可在试算表 </t>
    </r>
    <r>
      <rPr>
        <b/>
        <u/>
        <sz val="12"/>
        <color theme="9" tint="0.79998168889431442"/>
        <rFont val="微软雅黑"/>
        <family val="2"/>
        <charset val="134"/>
      </rPr>
      <t>新君威 VIN查询</t>
    </r>
    <r>
      <rPr>
        <b/>
        <sz val="12"/>
        <color theme="9" tint="0.79998168889431442"/>
        <rFont val="微软雅黑"/>
        <family val="2"/>
        <charset val="134"/>
      </rPr>
      <t xml:space="preserve"> </t>
    </r>
    <r>
      <rPr>
        <sz val="12"/>
        <color theme="9" tint="0.79998168889431442"/>
        <rFont val="微软雅黑"/>
        <family val="2"/>
        <charset val="134"/>
      </rPr>
      <t>Sheet确认具体车辆是否可享受贴息</t>
    </r>
    <phoneticPr fontId="1" type="noConversion"/>
  </si>
  <si>
    <t>威朗Pro</t>
  </si>
  <si>
    <t>免息贴息金额</t>
    <phoneticPr fontId="1" type="noConversion"/>
  </si>
  <si>
    <t>厂贴上限</t>
    <phoneticPr fontId="1" type="noConversion"/>
  </si>
  <si>
    <t>12期-智慧贷7030-0息0月供 （贷款金额=尾款）总价上限参考：</t>
  </si>
  <si>
    <r>
      <t xml:space="preserve">经销商贴息
</t>
    </r>
    <r>
      <rPr>
        <sz val="9"/>
        <color rgb="FFFF0000"/>
        <rFont val="微软雅黑"/>
        <family val="2"/>
        <charset val="134"/>
      </rPr>
      <t>（100元起）</t>
    </r>
    <phoneticPr fontId="1" type="noConversion"/>
  </si>
  <si>
    <t>GL8 陆尊 PHEV</t>
    <phoneticPr fontId="1" type="noConversion"/>
  </si>
  <si>
    <t>厂贴免息贷款额上限</t>
    <phoneticPr fontId="1" type="noConversion"/>
  </si>
  <si>
    <t>微蓝6_450KM</t>
    <phoneticPr fontId="1" type="noConversion"/>
  </si>
  <si>
    <r>
      <t xml:space="preserve">贷款金额
</t>
    </r>
    <r>
      <rPr>
        <sz val="12"/>
        <color theme="1"/>
        <rFont val="微软雅黑"/>
        <family val="2"/>
        <charset val="134"/>
      </rPr>
      <t>(=总价*50%）</t>
    </r>
    <phoneticPr fontId="1" type="noConversion"/>
  </si>
  <si>
    <r>
      <t xml:space="preserve">贷款金额
</t>
    </r>
    <r>
      <rPr>
        <sz val="12"/>
        <color theme="1"/>
        <rFont val="微软雅黑"/>
        <family val="2"/>
        <charset val="134"/>
      </rPr>
      <t>(=总价*60%）</t>
    </r>
    <phoneticPr fontId="1" type="noConversion"/>
  </si>
  <si>
    <r>
      <t>说明：
1、表格中</t>
    </r>
    <r>
      <rPr>
        <b/>
        <sz val="12"/>
        <color theme="8" tint="-0.499984740745262"/>
        <rFont val="微软雅黑"/>
        <family val="2"/>
        <charset val="134"/>
      </rPr>
      <t>蓝底</t>
    </r>
    <r>
      <rPr>
        <b/>
        <sz val="12"/>
        <color theme="0"/>
        <rFont val="微软雅黑"/>
        <family val="2"/>
        <charset val="134"/>
      </rPr>
      <t>白字</t>
    </r>
    <r>
      <rPr>
        <sz val="12"/>
        <color theme="1"/>
        <rFont val="微软雅黑"/>
        <family val="2"/>
        <charset val="134"/>
      </rPr>
      <t xml:space="preserve">的单元格，为可修改项。可直接输入或从下拉菜单中进行选择。
2、当“贷款金额下限”或“贷款金额上限数值项变为 </t>
    </r>
    <r>
      <rPr>
        <sz val="12"/>
        <color rgb="FFFF0000"/>
        <rFont val="微软雅黑"/>
        <family val="2"/>
        <charset val="134"/>
      </rPr>
      <t>红字且</t>
    </r>
    <r>
      <rPr>
        <sz val="12"/>
        <color rgb="FFFFFF00"/>
        <rFont val="微软雅黑"/>
        <family val="2"/>
        <charset val="134"/>
      </rPr>
      <t>黄色高亮</t>
    </r>
    <r>
      <rPr>
        <sz val="12"/>
        <color theme="1"/>
        <rFont val="微软雅黑"/>
        <family val="2"/>
        <charset val="134"/>
      </rPr>
      <t xml:space="preserve">时，需调整第9行“贷款金额”输入的数值
3、当某‘还款方式’的试算行多处显示 </t>
    </r>
    <r>
      <rPr>
        <sz val="12"/>
        <color theme="4" tint="-0.249977111117893"/>
        <rFont val="微软雅黑"/>
        <family val="2"/>
        <charset val="134"/>
      </rPr>
      <t>#VALUE!</t>
    </r>
    <r>
      <rPr>
        <sz val="12"/>
        <color theme="1"/>
        <rFont val="微软雅黑"/>
        <family val="2"/>
        <charset val="134"/>
      </rPr>
      <t xml:space="preserve"> 或 </t>
    </r>
    <r>
      <rPr>
        <sz val="12"/>
        <color theme="4" tint="-0.249977111117893"/>
        <rFont val="微软雅黑"/>
        <family val="2"/>
        <charset val="134"/>
      </rPr>
      <t xml:space="preserve"> *N/A</t>
    </r>
    <r>
      <rPr>
        <sz val="12"/>
        <color theme="1"/>
        <rFont val="微软雅黑"/>
        <family val="2"/>
        <charset val="134"/>
      </rPr>
      <t xml:space="preserve"> 时，或</t>
    </r>
    <r>
      <rPr>
        <b/>
        <sz val="12"/>
        <color theme="1"/>
        <rFont val="微软雅黑"/>
        <family val="2"/>
        <charset val="134"/>
      </rPr>
      <t>K列/L列</t>
    </r>
    <r>
      <rPr>
        <sz val="12"/>
        <color theme="1"/>
        <rFont val="微软雅黑"/>
        <family val="2"/>
        <charset val="134"/>
      </rPr>
      <t>显示'</t>
    </r>
    <r>
      <rPr>
        <sz val="12"/>
        <color rgb="FFFF0000"/>
        <rFont val="微软雅黑"/>
        <family val="2"/>
        <charset val="134"/>
      </rPr>
      <t>无方案</t>
    </r>
    <r>
      <rPr>
        <sz val="12"/>
        <color theme="1"/>
        <rFont val="微软雅黑"/>
        <family val="2"/>
        <charset val="134"/>
      </rPr>
      <t>'时，即表示所选车型无此“还款方式”或 对应期限 的贴息方案
4、系统录入选择贷款方案时，注意选择带有“车型+方案名称关键字”的方案名称</t>
    </r>
    <phoneticPr fontId="1" type="noConversion"/>
  </si>
  <si>
    <r>
      <t xml:space="preserve">等额本息类
</t>
    </r>
    <r>
      <rPr>
        <sz val="12"/>
        <color theme="0"/>
        <rFont val="微软雅黑"/>
        <family val="2"/>
        <charset val="134"/>
      </rPr>
      <t>（低息）</t>
    </r>
    <phoneticPr fontId="1" type="noConversion"/>
  </si>
  <si>
    <r>
      <t>客户试算年化</t>
    </r>
    <r>
      <rPr>
        <b/>
        <sz val="12"/>
        <color theme="1"/>
        <rFont val="微软雅黑"/>
        <family val="2"/>
        <charset val="134"/>
      </rPr>
      <t>利</t>
    </r>
    <r>
      <rPr>
        <sz val="12"/>
        <color theme="1"/>
        <rFont val="微软雅黑"/>
        <family val="2"/>
        <charset val="134"/>
      </rPr>
      <t>率</t>
    </r>
    <phoneticPr fontId="1" type="noConversion"/>
  </si>
  <si>
    <r>
      <t>客户试算年化</t>
    </r>
    <r>
      <rPr>
        <b/>
        <sz val="12"/>
        <color theme="1"/>
        <rFont val="微软雅黑"/>
        <family val="2"/>
        <charset val="134"/>
      </rPr>
      <t>费</t>
    </r>
    <r>
      <rPr>
        <sz val="12"/>
        <color theme="1"/>
        <rFont val="微软雅黑"/>
        <family val="2"/>
        <charset val="134"/>
      </rPr>
      <t>率</t>
    </r>
    <phoneticPr fontId="1" type="noConversion"/>
  </si>
  <si>
    <r>
      <t xml:space="preserve">智慧贷
</t>
    </r>
    <r>
      <rPr>
        <sz val="12"/>
        <color theme="0"/>
        <rFont val="微软雅黑"/>
        <family val="2"/>
        <charset val="134"/>
      </rPr>
      <t>（低息）
首付20%起
留尾款享更低月供</t>
    </r>
    <phoneticPr fontId="1" type="noConversion"/>
  </si>
  <si>
    <r>
      <t>尾款</t>
    </r>
    <r>
      <rPr>
        <sz val="12"/>
        <color theme="1"/>
        <rFont val="微软雅黑"/>
        <family val="2"/>
        <charset val="134"/>
      </rPr>
      <t xml:space="preserve">
(与末期月供一起支付）</t>
    </r>
    <phoneticPr fontId="1" type="noConversion"/>
  </si>
  <si>
    <t>首付不得低于：</t>
    <phoneticPr fontId="1" type="noConversion"/>
  </si>
  <si>
    <t>微蓝6_430KM</t>
  </si>
  <si>
    <t>昂科拉Plus</t>
  </si>
  <si>
    <t>昂扬</t>
  </si>
  <si>
    <t>无方案</t>
    <phoneticPr fontId="1" type="noConversion"/>
  </si>
  <si>
    <r>
      <t xml:space="preserve">GL8 </t>
    </r>
    <r>
      <rPr>
        <sz val="14"/>
        <color theme="9" tint="0.79998168889431442"/>
        <rFont val="微软雅黑"/>
        <family val="2"/>
        <charset val="134"/>
      </rPr>
      <t>陆尊 PHEV 七座奢享版 新能源</t>
    </r>
    <phoneticPr fontId="1" type="noConversion"/>
  </si>
  <si>
    <t>返回</t>
  </si>
  <si>
    <r>
      <t>市场指导价</t>
    </r>
    <r>
      <rPr>
        <sz val="11"/>
        <color theme="1"/>
        <rFont val="微软雅黑"/>
        <family val="2"/>
        <charset val="134"/>
      </rPr>
      <t>(MSRP)</t>
    </r>
    <phoneticPr fontId="1" type="noConversion"/>
  </si>
  <si>
    <r>
      <t>车辆开票价</t>
    </r>
    <r>
      <rPr>
        <sz val="11"/>
        <color theme="1"/>
        <rFont val="微软雅黑"/>
        <family val="2"/>
        <charset val="134"/>
      </rPr>
      <t>(TP)</t>
    </r>
    <r>
      <rPr>
        <sz val="11"/>
        <color rgb="FFFF0000"/>
        <rFont val="微软雅黑"/>
        <family val="2"/>
        <charset val="134"/>
      </rPr>
      <t>*</t>
    </r>
    <phoneticPr fontId="1" type="noConversion"/>
  </si>
  <si>
    <t>附加品金额*</t>
    <phoneticPr fontId="1" type="noConversion"/>
  </si>
  <si>
    <r>
      <t xml:space="preserve">总价
</t>
    </r>
    <r>
      <rPr>
        <sz val="10"/>
        <color indexed="8"/>
        <rFont val="微软雅黑"/>
        <family val="2"/>
        <charset val="134"/>
      </rPr>
      <t>注：总价不得超过车辆市场指导价*115%</t>
    </r>
    <phoneticPr fontId="1" type="noConversion"/>
  </si>
  <si>
    <r>
      <t xml:space="preserve">总价
</t>
    </r>
    <r>
      <rPr>
        <sz val="11"/>
        <color indexed="8"/>
        <rFont val="微软雅黑"/>
        <family val="2"/>
        <charset val="134"/>
      </rPr>
      <t>注：总价不得超过车辆市场指导价*115%</t>
    </r>
    <phoneticPr fontId="1" type="noConversion"/>
  </si>
  <si>
    <r>
      <t>车辆开票价</t>
    </r>
    <r>
      <rPr>
        <sz val="11"/>
        <color theme="1"/>
        <rFont val="微软雅黑"/>
        <family val="2"/>
        <charset val="134"/>
      </rPr>
      <t>(TP)</t>
    </r>
    <r>
      <rPr>
        <b/>
        <sz val="11"/>
        <color rgb="FFFF0000"/>
        <rFont val="微软雅黑"/>
        <family val="2"/>
        <charset val="134"/>
      </rPr>
      <t>*</t>
    </r>
    <phoneticPr fontId="1" type="noConversion"/>
  </si>
  <si>
    <t>注：总价不得超过车辆市场指导价*115%</t>
    <phoneticPr fontId="1" type="noConversion"/>
  </si>
  <si>
    <t xml:space="preserve"> 3万起</t>
    <phoneticPr fontId="1" type="noConversion"/>
  </si>
  <si>
    <t>个人申请：2025_别克 自主贴息 马卡龙A 个人常规智慧贷 60期低息 20%尾款</t>
    <phoneticPr fontId="1" type="noConversion"/>
  </si>
  <si>
    <t>个人申请：2025_别克 自主贴息 马卡龙A 个人常规智慧贷 36期低息 30%尾款</t>
    <phoneticPr fontId="1" type="noConversion"/>
  </si>
  <si>
    <t>个人申请：2025_别克 自主贴息 马卡龙B 个人常规智慧贷 36期低息 30%尾款</t>
    <phoneticPr fontId="1" type="noConversion"/>
  </si>
  <si>
    <t>个人申请：2025_别克 自主贴息 马卡龙B 个人常规智慧贷 60期低息 20%尾款</t>
    <phoneticPr fontId="1" type="noConversion"/>
  </si>
  <si>
    <t>微蓝6_450KM</t>
    <phoneticPr fontId="1" type="noConversion"/>
  </si>
  <si>
    <r>
      <t xml:space="preserve">威朗Pro GS 追风版 黑色车顶
</t>
    </r>
    <r>
      <rPr>
        <sz val="11"/>
        <color theme="1"/>
        <rFont val="微软雅黑"/>
        <family val="2"/>
        <charset val="134"/>
      </rPr>
      <t>（追风版黑色车顶，都选此项）</t>
    </r>
    <phoneticPr fontId="1" type="noConversion"/>
  </si>
  <si>
    <r>
      <t xml:space="preserve">威朗Pro GS 猎风版 黑色车顶
</t>
    </r>
    <r>
      <rPr>
        <sz val="11"/>
        <color theme="1"/>
        <rFont val="微软雅黑"/>
        <family val="2"/>
        <charset val="134"/>
      </rPr>
      <t>（猎风版黑色车顶，都选此项）</t>
    </r>
    <phoneticPr fontId="1" type="noConversion"/>
  </si>
  <si>
    <r>
      <t xml:space="preserve">威朗Pro GS 疾风版 黑色车顶
</t>
    </r>
    <r>
      <rPr>
        <sz val="11"/>
        <color theme="1"/>
        <rFont val="微软雅黑"/>
        <family val="2"/>
        <charset val="134"/>
      </rPr>
      <t>（疾风版黑色车顶，都选此项）</t>
    </r>
    <phoneticPr fontId="1" type="noConversion"/>
  </si>
  <si>
    <r>
      <t xml:space="preserve">威朗Pro GS 疾风版 17吋 黑色车顶
</t>
    </r>
    <r>
      <rPr>
        <sz val="11"/>
        <color theme="1"/>
        <rFont val="微软雅黑"/>
        <family val="2"/>
        <charset val="134"/>
      </rPr>
      <t>（仅17寸轮毂的，可选）</t>
    </r>
    <phoneticPr fontId="1" type="noConversion"/>
  </si>
  <si>
    <t>厂贴_双优贷2.0</t>
    <phoneticPr fontId="1" type="noConversion"/>
  </si>
  <si>
    <r>
      <t>客户试算总</t>
    </r>
    <r>
      <rPr>
        <b/>
        <sz val="14"/>
        <color theme="1"/>
        <rFont val="微软雅黑"/>
        <family val="2"/>
        <charset val="134"/>
      </rPr>
      <t>费</t>
    </r>
    <r>
      <rPr>
        <b/>
        <sz val="11"/>
        <color theme="1"/>
        <rFont val="微软雅黑"/>
        <family val="2"/>
        <charset val="134"/>
      </rPr>
      <t>率</t>
    </r>
    <phoneticPr fontId="1" type="noConversion"/>
  </si>
  <si>
    <r>
      <t>客户试算总</t>
    </r>
    <r>
      <rPr>
        <b/>
        <sz val="14"/>
        <color theme="1"/>
        <rFont val="微软雅黑"/>
        <family val="2"/>
        <charset val="134"/>
      </rPr>
      <t>费</t>
    </r>
    <r>
      <rPr>
        <sz val="11"/>
        <color theme="1"/>
        <rFont val="微软雅黑"/>
        <family val="2"/>
        <charset val="134"/>
      </rPr>
      <t>率</t>
    </r>
    <phoneticPr fontId="1" type="noConversion"/>
  </si>
  <si>
    <r>
      <t>贷款金额</t>
    </r>
    <r>
      <rPr>
        <b/>
        <sz val="12"/>
        <color rgb="FFFF0000"/>
        <rFont val="微软雅黑"/>
        <family val="2"/>
        <charset val="134"/>
      </rPr>
      <t>*</t>
    </r>
    <r>
      <rPr>
        <b/>
        <sz val="12"/>
        <color theme="1"/>
        <rFont val="微软雅黑"/>
        <family val="2"/>
        <charset val="134"/>
      </rPr>
      <t xml:space="preserve">
</t>
    </r>
    <r>
      <rPr>
        <sz val="12"/>
        <color theme="1"/>
        <rFont val="微软雅黑"/>
        <family val="2"/>
        <charset val="134"/>
      </rPr>
      <t>(=总价*50%）</t>
    </r>
    <phoneticPr fontId="1" type="noConversion"/>
  </si>
  <si>
    <r>
      <t xml:space="preserve">5050
</t>
    </r>
    <r>
      <rPr>
        <sz val="12"/>
        <color theme="0"/>
        <rFont val="微软雅黑"/>
        <family val="2"/>
        <charset val="134"/>
      </rPr>
      <t>（低息）
半付半贷
12期超低月供</t>
    </r>
    <phoneticPr fontId="1" type="noConversion"/>
  </si>
  <si>
    <t>还款方式</t>
    <phoneticPr fontId="1" type="noConversion"/>
  </si>
  <si>
    <t>厂商贴息
上限</t>
    <phoneticPr fontId="1" type="noConversion"/>
  </si>
  <si>
    <t>厂商贴息金额</t>
    <phoneticPr fontId="1" type="noConversion"/>
  </si>
  <si>
    <t>GL8 陆尊 PHEV 智享版 新能源</t>
    <phoneticPr fontId="1" type="noConversion"/>
  </si>
  <si>
    <t>GL8 陆尊 PHEV 尊享版 新能源</t>
    <phoneticPr fontId="1" type="noConversion"/>
  </si>
  <si>
    <t>GL8 陆尊 PHEV 六座奢享版 新能源</t>
    <phoneticPr fontId="1" type="noConversion"/>
  </si>
  <si>
    <t>GL8 陆尊 PHEV 七座奢享版 新能源</t>
    <phoneticPr fontId="1" type="noConversion"/>
  </si>
  <si>
    <r>
      <t>说明：
1、表格中</t>
    </r>
    <r>
      <rPr>
        <b/>
        <sz val="12"/>
        <color theme="8" tint="-0.499984740745262"/>
        <rFont val="微软雅黑"/>
        <family val="2"/>
        <charset val="134"/>
      </rPr>
      <t>蓝底</t>
    </r>
    <r>
      <rPr>
        <b/>
        <sz val="12"/>
        <color theme="0"/>
        <rFont val="微软雅黑"/>
        <family val="2"/>
        <charset val="134"/>
      </rPr>
      <t>白字</t>
    </r>
    <r>
      <rPr>
        <sz val="12"/>
        <color theme="1"/>
        <rFont val="微软雅黑"/>
        <family val="2"/>
        <charset val="134"/>
      </rPr>
      <t xml:space="preserve">的单元格，为可修改项。可直接输入或从下拉菜单中进行选择。
2、当“贷款金额下限”或“贷款金额上限数值项变为 </t>
    </r>
    <r>
      <rPr>
        <sz val="12"/>
        <color rgb="FFFF0000"/>
        <rFont val="微软雅黑"/>
        <family val="2"/>
        <charset val="134"/>
      </rPr>
      <t>红字且</t>
    </r>
    <r>
      <rPr>
        <sz val="12"/>
        <color rgb="FFFFFF00"/>
        <rFont val="微软雅黑"/>
        <family val="2"/>
        <charset val="134"/>
      </rPr>
      <t>黄色高亮</t>
    </r>
    <r>
      <rPr>
        <sz val="12"/>
        <color theme="1"/>
        <rFont val="微软雅黑"/>
        <family val="2"/>
        <charset val="134"/>
      </rPr>
      <t>时，</t>
    </r>
    <r>
      <rPr>
        <b/>
        <sz val="12"/>
        <color theme="1"/>
        <rFont val="微软雅黑"/>
        <family val="2"/>
        <charset val="134"/>
      </rPr>
      <t>需调整第6、7行输入的数值，需确保总价不低于‘贷款金额下限’的2倍</t>
    </r>
    <r>
      <rPr>
        <sz val="12"/>
        <color theme="1"/>
        <rFont val="微软雅黑"/>
        <family val="2"/>
        <charset val="134"/>
      </rPr>
      <t xml:space="preserve">
3、当某‘还款方式’的试算行多处显示 </t>
    </r>
    <r>
      <rPr>
        <sz val="12"/>
        <color theme="4" tint="-0.249977111117893"/>
        <rFont val="微软雅黑"/>
        <family val="2"/>
        <charset val="134"/>
      </rPr>
      <t>#VALUE!</t>
    </r>
    <r>
      <rPr>
        <sz val="12"/>
        <color theme="1"/>
        <rFont val="微软雅黑"/>
        <family val="2"/>
        <charset val="134"/>
      </rPr>
      <t xml:space="preserve"> 或 </t>
    </r>
    <r>
      <rPr>
        <sz val="12"/>
        <color theme="4" tint="-0.249977111117893"/>
        <rFont val="微软雅黑"/>
        <family val="2"/>
        <charset val="134"/>
      </rPr>
      <t xml:space="preserve"> *N/A</t>
    </r>
    <r>
      <rPr>
        <sz val="12"/>
        <color theme="1"/>
        <rFont val="微软雅黑"/>
        <family val="2"/>
        <charset val="134"/>
      </rPr>
      <t xml:space="preserve"> 时，或</t>
    </r>
    <r>
      <rPr>
        <b/>
        <sz val="12"/>
        <color theme="1"/>
        <rFont val="微软雅黑"/>
        <family val="2"/>
        <charset val="134"/>
      </rPr>
      <t>K列/L列</t>
    </r>
    <r>
      <rPr>
        <sz val="12"/>
        <color theme="1"/>
        <rFont val="微软雅黑"/>
        <family val="2"/>
        <charset val="134"/>
      </rPr>
      <t>显示'</t>
    </r>
    <r>
      <rPr>
        <sz val="12"/>
        <color rgb="FFFF0000"/>
        <rFont val="微软雅黑"/>
        <family val="2"/>
        <charset val="134"/>
      </rPr>
      <t>无方案</t>
    </r>
    <r>
      <rPr>
        <sz val="12"/>
        <color theme="1"/>
        <rFont val="微软雅黑"/>
        <family val="2"/>
        <charset val="134"/>
      </rPr>
      <t>'时，即表示所选车型无此“还款方式”或 对应期限 的贴息方案
4、系统录入选择贷款方案时，注意选择带有“车型+方案名称关键字”的方案名称</t>
    </r>
    <phoneticPr fontId="1" type="noConversion"/>
  </si>
  <si>
    <t>合同
年化利率</t>
    <phoneticPr fontId="1" type="noConversion"/>
  </si>
  <si>
    <r>
      <t>附加品金额</t>
    </r>
    <r>
      <rPr>
        <b/>
        <sz val="11"/>
        <color rgb="FFFF0000"/>
        <rFont val="微软雅黑"/>
        <family val="2"/>
        <charset val="134"/>
      </rPr>
      <t xml:space="preserve">*
</t>
    </r>
    <r>
      <rPr>
        <sz val="11"/>
        <color rgb="FFFF0000"/>
        <rFont val="微软雅黑"/>
        <family val="2"/>
        <charset val="134"/>
      </rPr>
      <t>（仅限购置税&amp;保费）</t>
    </r>
    <phoneticPr fontId="1" type="noConversion"/>
  </si>
  <si>
    <t>*请将贷款金额调整至低于车辆开票价</t>
    <phoneticPr fontId="1" type="noConversion"/>
  </si>
  <si>
    <t>注：1）本试算工具仅供试算参考，因精度问题客户月供及利息与实际情况可能存在差异，请以《汽车（抵押）贷款合同》所附的《还款计划表》为准；
       2）在提交申请和签约时，请注意比对申请系统与试算表的方案名称，以免因选错方案导致最终还款金额与试算金额出现较大差异。</t>
    <phoneticPr fontId="1" type="noConversion"/>
  </si>
  <si>
    <t>个人申请：8.98马卡龙A 新优速贷/标准产品/个体工商户升级 自主贴息_60期</t>
    <phoneticPr fontId="1" type="noConversion"/>
  </si>
  <si>
    <t>36期</t>
    <phoneticPr fontId="1" type="noConversion"/>
  </si>
  <si>
    <t>个人申请：9.48马卡龙A 新优速贷/标准产品/个体工商户升级 自主贴息_36期</t>
    <phoneticPr fontId="1" type="noConversion"/>
  </si>
  <si>
    <t>个人申请：9.98马卡龙B 新优速贷/标准产品/个体工商户升级 自主贴息_60期</t>
    <phoneticPr fontId="1" type="noConversion"/>
  </si>
  <si>
    <t>个人申请：10.48马卡龙B 新优速贷/标准产品/个体工商户升级 自主贴息_36期</t>
    <phoneticPr fontId="1" type="noConversion"/>
  </si>
  <si>
    <t>个人申请：2025_6.88员工车_非贴息_12-60期</t>
    <phoneticPr fontId="1" type="noConversion"/>
  </si>
  <si>
    <t>GL8  陆尚 智享版</t>
  </si>
  <si>
    <t>GL8  陆尚 智享版</t>
    <phoneticPr fontId="1" type="noConversion"/>
  </si>
  <si>
    <t>GL8  陆尚 尊享版</t>
  </si>
  <si>
    <t>GL8  陆尚 尊享版</t>
    <phoneticPr fontId="1" type="noConversion"/>
  </si>
  <si>
    <t>个人申请：9.7双优贷_新优速贷_非贴息_60期_通用</t>
    <phoneticPr fontId="1" type="noConversion"/>
  </si>
  <si>
    <t>还满12期提前还款测算参考：</t>
    <phoneticPr fontId="33" type="noConversion"/>
  </si>
  <si>
    <t>1-12期</t>
    <phoneticPr fontId="1" type="noConversion"/>
  </si>
  <si>
    <t>13-60期</t>
    <phoneticPr fontId="1" type="noConversion"/>
  </si>
  <si>
    <t>第一步：选车系、车型，并修改贷款参数</t>
    <phoneticPr fontId="1" type="noConversion"/>
  </si>
  <si>
    <t>微蓝6_450KM</t>
  </si>
  <si>
    <t>陆尊</t>
  </si>
  <si>
    <t>第一步：修改贷款参数</t>
    <phoneticPr fontId="1" type="noConversion"/>
  </si>
  <si>
    <t>第一步：输入修改参数</t>
    <phoneticPr fontId="1" type="noConversion"/>
  </si>
  <si>
    <t>1+4</t>
    <phoneticPr fontId="1" type="noConversion"/>
  </si>
  <si>
    <t>贷款额</t>
    <phoneticPr fontId="1" type="noConversion"/>
  </si>
  <si>
    <t>厂贴</t>
    <phoneticPr fontId="1" type="noConversion"/>
  </si>
  <si>
    <t>首年本金</t>
    <phoneticPr fontId="1" type="noConversion"/>
  </si>
  <si>
    <t>客户试算总利息</t>
    <phoneticPr fontId="1" type="noConversion"/>
  </si>
  <si>
    <t>先享版</t>
  </si>
  <si>
    <t>先享版</t>
    <phoneticPr fontId="1" type="noConversion"/>
  </si>
  <si>
    <t>全新GL8陆上公务舱</t>
  </si>
  <si>
    <t>全新GL8陆上公务舱</t>
    <phoneticPr fontId="1" type="noConversion"/>
  </si>
  <si>
    <t>全新GL8陆上公务舱</t>
    <phoneticPr fontId="1" type="noConversion"/>
  </si>
  <si>
    <t>先享版</t>
    <phoneticPr fontId="1" type="noConversion"/>
  </si>
  <si>
    <r>
      <t xml:space="preserve">客户有近期不少于六个月的良好信用记录，
</t>
    </r>
    <r>
      <rPr>
        <b/>
        <sz val="10"/>
        <color rgb="FFFF0000"/>
        <rFont val="微软雅黑"/>
        <family val="2"/>
        <charset val="134"/>
      </rPr>
      <t>或</t>
    </r>
    <r>
      <rPr>
        <sz val="10"/>
        <color theme="1"/>
        <rFont val="微软雅黑"/>
        <family val="2"/>
        <charset val="134"/>
      </rPr>
      <t xml:space="preserve"> 满足我司对于“本地人”的信贷要求   
 （免房产）</t>
    </r>
    <phoneticPr fontId="1" type="noConversion"/>
  </si>
  <si>
    <r>
      <t xml:space="preserve">“个体工商户注册地”、“担保人工作地”及“担保人居住地”在同一省份，
 需添加个体户经营者担保。（个体户经营者名下驾照，免房产） 
</t>
    </r>
    <r>
      <rPr>
        <sz val="10"/>
        <color rgb="FFFF0000"/>
        <rFont val="微软雅黑"/>
        <family val="2"/>
        <charset val="134"/>
      </rPr>
      <t>暂不支持以下省市申请：西藏；苏州、南京、常州、宁波、福州、厦门、莆田、石家庄、郑州、乌鲁木齐</t>
    </r>
    <r>
      <rPr>
        <sz val="10"/>
        <color theme="1"/>
        <rFont val="微软雅黑"/>
        <family val="2"/>
        <charset val="134"/>
      </rPr>
      <t>（具体以系统为准）</t>
    </r>
    <phoneticPr fontId="1" type="noConversion"/>
  </si>
  <si>
    <t xml:space="preserve"> - 合法经营半年以上
 - 持有有效证照，如《营业执照》
 - 添加法定代表人或持股大于等于25%的股东做担保</t>
    <phoneticPr fontId="1" type="noConversion"/>
  </si>
  <si>
    <r>
      <t xml:space="preserve"> - 公司合法经营半年以上
- 持有有效《营业执照》， </t>
    </r>
    <r>
      <rPr>
        <sz val="10"/>
        <color rgb="FFFF0000"/>
        <rFont val="微软雅黑"/>
        <family val="2"/>
        <charset val="134"/>
      </rPr>
      <t>且经营范围需包含与购车用途相关的描述</t>
    </r>
    <r>
      <rPr>
        <sz val="10"/>
        <color rgb="FF000000"/>
        <rFont val="微软雅黑"/>
        <family val="2"/>
        <charset val="134"/>
      </rPr>
      <t>（如客运）
  - 添加法人或持股大于等于25%的股东做担保</t>
    </r>
    <phoneticPr fontId="1" type="noConversion"/>
  </si>
  <si>
    <r>
      <t xml:space="preserve"> - 公司合法经营</t>
    </r>
    <r>
      <rPr>
        <b/>
        <sz val="12"/>
        <color rgb="FFFF0000"/>
        <rFont val="微软雅黑"/>
        <family val="2"/>
        <charset val="134"/>
      </rPr>
      <t>1年</t>
    </r>
    <r>
      <rPr>
        <sz val="10"/>
        <color rgb="FF000000"/>
        <rFont val="微软雅黑"/>
        <family val="2"/>
        <charset val="134"/>
      </rPr>
      <t>以上
 - 持有有效《营业执照》， 且经营范围需包含与购车用途相关的描述（如租赁）
 - 添加法人或持股大于等于25%的股东做担保</t>
    </r>
    <phoneticPr fontId="1" type="noConversion"/>
  </si>
  <si>
    <r>
      <t xml:space="preserve"> - 公司合法经营</t>
    </r>
    <r>
      <rPr>
        <b/>
        <sz val="12"/>
        <color rgb="FFFF0000"/>
        <rFont val="微软雅黑"/>
        <family val="2"/>
        <charset val="134"/>
      </rPr>
      <t>1年</t>
    </r>
    <r>
      <rPr>
        <sz val="10"/>
        <color rgb="FF000000"/>
        <rFont val="微软雅黑"/>
        <family val="2"/>
        <charset val="134"/>
      </rPr>
      <t>以上
 - 持有有效《营业执照》， 且经营范围需包含与购车用途相关的描述（如客运）
 - 添加法人或持股大于等于25%的股东做担保</t>
    </r>
    <phoneticPr fontId="1" type="noConversion"/>
  </si>
  <si>
    <t>基本资料</t>
    <phoneticPr fontId="1" type="noConversion"/>
  </si>
  <si>
    <r>
      <t xml:space="preserve"> - </t>
    </r>
    <r>
      <rPr>
        <b/>
        <sz val="10"/>
        <color rgb="FF000000"/>
        <rFont val="微软雅黑"/>
        <family val="2"/>
        <charset val="134"/>
      </rPr>
      <t>购置税</t>
    </r>
    <r>
      <rPr>
        <sz val="10"/>
        <color rgb="FF000000"/>
        <rFont val="微软雅黑"/>
        <family val="2"/>
        <charset val="134"/>
      </rPr>
      <t xml:space="preserve">、
 - </t>
    </r>
    <r>
      <rPr>
        <b/>
        <sz val="10"/>
        <color rgb="FF000000"/>
        <rFont val="微软雅黑"/>
        <family val="2"/>
        <charset val="134"/>
      </rPr>
      <t>车辆保险</t>
    </r>
    <r>
      <rPr>
        <sz val="10"/>
        <color rgb="FF000000"/>
        <rFont val="微软雅黑"/>
        <family val="2"/>
        <charset val="134"/>
      </rPr>
      <t xml:space="preserve">、
 - </t>
    </r>
    <r>
      <rPr>
        <b/>
        <sz val="10"/>
        <color rgb="FF000000"/>
        <rFont val="微软雅黑"/>
        <family val="2"/>
        <charset val="134"/>
      </rPr>
      <t>经销商附加品和服务</t>
    </r>
    <r>
      <rPr>
        <sz val="10"/>
        <color rgb="FF000000"/>
        <rFont val="微软雅黑"/>
        <family val="2"/>
        <charset val="134"/>
      </rPr>
      <t>（保值焕新服务、车辆内外精品装饰、等）</t>
    </r>
    <phoneticPr fontId="33" type="noConversion"/>
  </si>
  <si>
    <t>总价（车价+附加品）金额上限</t>
    <phoneticPr fontId="1" type="noConversion"/>
  </si>
  <si>
    <r>
      <t>额度上限：</t>
    </r>
    <r>
      <rPr>
        <b/>
        <sz val="12"/>
        <color rgb="FFFF0000"/>
        <rFont val="微软雅黑"/>
        <family val="2"/>
        <charset val="134"/>
      </rPr>
      <t>1台，且不超50万</t>
    </r>
    <phoneticPr fontId="1" type="noConversion"/>
  </si>
  <si>
    <t>贷款方案</t>
    <phoneticPr fontId="1" type="noConversion"/>
  </si>
  <si>
    <t>合同利率</t>
    <phoneticPr fontId="1" type="noConversion"/>
  </si>
  <si>
    <t>阶梯贷车系参数</t>
    <phoneticPr fontId="1" type="noConversion"/>
  </si>
  <si>
    <t>25款世纪_4座私享版</t>
    <phoneticPr fontId="1" type="noConversion"/>
  </si>
  <si>
    <t>双优贷2.0-非厂商贴息</t>
    <phoneticPr fontId="1" type="noConversion"/>
  </si>
  <si>
    <t>双优贷2.0-经销商贴息</t>
    <phoneticPr fontId="1" type="noConversion"/>
  </si>
  <si>
    <t>舒享PLUS版/越享PLUS版</t>
    <phoneticPr fontId="1" type="noConversion"/>
  </si>
  <si>
    <t>厂贴_1+4阶梯贷</t>
    <phoneticPr fontId="1" type="noConversion"/>
  </si>
  <si>
    <t>还满12期免提前还款手续费</t>
    <phoneticPr fontId="1" type="noConversion"/>
  </si>
  <si>
    <t>还满24期免提前还款手续费</t>
    <phoneticPr fontId="1" type="noConversion"/>
  </si>
  <si>
    <t>低首付低利率
（等额本息类）</t>
    <phoneticPr fontId="1" type="noConversion"/>
  </si>
  <si>
    <t>双优贷2.0
（等额本息类）</t>
    <phoneticPr fontId="1" type="noConversion"/>
  </si>
  <si>
    <t>厂贴_双优贷1.0</t>
    <phoneticPr fontId="1" type="noConversion"/>
  </si>
  <si>
    <t>双优贷2.0</t>
    <phoneticPr fontId="1" type="noConversion"/>
  </si>
  <si>
    <t>双优贷1.0</t>
    <phoneticPr fontId="1" type="noConversion"/>
  </si>
  <si>
    <t>个人申请：2025_11.6双优贷2.0_新优速贷_经销商贴息_60期_通用</t>
    <phoneticPr fontId="1" type="noConversion"/>
  </si>
  <si>
    <t>还满30期免提前还款手续费</t>
    <phoneticPr fontId="1" type="noConversion"/>
  </si>
  <si>
    <t>60期提前还款测算参考：</t>
    <phoneticPr fontId="33" type="noConversion"/>
  </si>
  <si>
    <t>提前还款测算参考：</t>
    <phoneticPr fontId="33" type="noConversion"/>
  </si>
  <si>
    <t>贷款方案-1</t>
    <phoneticPr fontId="1" type="noConversion"/>
  </si>
  <si>
    <t>贷款方案2</t>
    <phoneticPr fontId="1" type="noConversion"/>
  </si>
  <si>
    <r>
      <t xml:space="preserve">双优贷2.0
</t>
    </r>
    <r>
      <rPr>
        <sz val="12"/>
        <color theme="1"/>
        <rFont val="微软雅黑"/>
        <family val="2"/>
        <charset val="134"/>
      </rPr>
      <t>（非贴息）</t>
    </r>
    <phoneticPr fontId="1" type="noConversion"/>
  </si>
  <si>
    <r>
      <t xml:space="preserve">双优贷2.0
</t>
    </r>
    <r>
      <rPr>
        <sz val="12"/>
        <color theme="1"/>
        <rFont val="微软雅黑"/>
        <family val="2"/>
        <charset val="134"/>
      </rPr>
      <t>（经销商贴息）</t>
    </r>
    <phoneticPr fontId="1" type="noConversion"/>
  </si>
  <si>
    <t>个人申请：11.6双优贷2.0_新优速贷_非贴息_60期_通用</t>
    <phoneticPr fontId="1" type="noConversion"/>
  </si>
  <si>
    <r>
      <t xml:space="preserve">双优贷1.0
</t>
    </r>
    <r>
      <rPr>
        <sz val="12"/>
        <color theme="1"/>
        <rFont val="微软雅黑"/>
        <family val="2"/>
        <charset val="134"/>
      </rPr>
      <t>（非贴息）</t>
    </r>
    <phoneticPr fontId="1" type="noConversion"/>
  </si>
  <si>
    <r>
      <t xml:space="preserve">双优贷1.0
</t>
    </r>
    <r>
      <rPr>
        <sz val="12"/>
        <color theme="1"/>
        <rFont val="微软雅黑"/>
        <family val="2"/>
        <charset val="134"/>
      </rPr>
      <t>（经销商贴息）</t>
    </r>
    <phoneticPr fontId="1" type="noConversion"/>
  </si>
  <si>
    <r>
      <t>说明：
1、表格中</t>
    </r>
    <r>
      <rPr>
        <b/>
        <sz val="12"/>
        <color theme="8" tint="-0.499984740745262"/>
        <rFont val="微软雅黑"/>
        <family val="2"/>
        <charset val="134"/>
      </rPr>
      <t>蓝底</t>
    </r>
    <r>
      <rPr>
        <b/>
        <sz val="12"/>
        <color theme="0"/>
        <rFont val="微软雅黑"/>
        <family val="2"/>
        <charset val="134"/>
      </rPr>
      <t>白字</t>
    </r>
    <r>
      <rPr>
        <sz val="12"/>
        <color theme="1"/>
        <rFont val="微软雅黑"/>
        <family val="2"/>
        <charset val="134"/>
      </rPr>
      <t xml:space="preserve">的单元格，为可修改项。可直接输入或从下拉菜单中进行选择。
2、当“贷款金额下限”或“贷款金额上限数值项变为 </t>
    </r>
    <r>
      <rPr>
        <sz val="12"/>
        <color rgb="FFFF0000"/>
        <rFont val="微软雅黑"/>
        <family val="2"/>
        <charset val="134"/>
      </rPr>
      <t>红字且</t>
    </r>
    <r>
      <rPr>
        <sz val="12"/>
        <color rgb="FFFFFF00"/>
        <rFont val="微软雅黑"/>
        <family val="2"/>
        <charset val="134"/>
      </rPr>
      <t>黄色高亮</t>
    </r>
    <r>
      <rPr>
        <sz val="12"/>
        <color theme="1"/>
        <rFont val="微软雅黑"/>
        <family val="2"/>
        <charset val="134"/>
      </rPr>
      <t xml:space="preserve">时，需调整第9行“贷款金额”输入的数值
3、当某‘还款方式’的试算行多处显示 </t>
    </r>
    <r>
      <rPr>
        <sz val="12"/>
        <color theme="4" tint="-0.249977111117893"/>
        <rFont val="微软雅黑"/>
        <family val="2"/>
        <charset val="134"/>
      </rPr>
      <t>#VALUE!</t>
    </r>
    <r>
      <rPr>
        <sz val="12"/>
        <color theme="1"/>
        <rFont val="微软雅黑"/>
        <family val="2"/>
        <charset val="134"/>
      </rPr>
      <t xml:space="preserve"> 或 </t>
    </r>
    <r>
      <rPr>
        <sz val="12"/>
        <color theme="4" tint="-0.249977111117893"/>
        <rFont val="微软雅黑"/>
        <family val="2"/>
        <charset val="134"/>
      </rPr>
      <t xml:space="preserve"> *N/A</t>
    </r>
    <r>
      <rPr>
        <sz val="12"/>
        <color theme="1"/>
        <rFont val="微软雅黑"/>
        <family val="2"/>
        <charset val="134"/>
      </rPr>
      <t xml:space="preserve"> 时，或</t>
    </r>
    <r>
      <rPr>
        <b/>
        <sz val="12"/>
        <color theme="1"/>
        <rFont val="微软雅黑"/>
        <family val="2"/>
        <charset val="134"/>
      </rPr>
      <t>K列/L列</t>
    </r>
    <r>
      <rPr>
        <sz val="12"/>
        <color theme="1"/>
        <rFont val="微软雅黑"/>
        <family val="2"/>
        <charset val="134"/>
      </rPr>
      <t>显示'</t>
    </r>
    <r>
      <rPr>
        <sz val="12"/>
        <color rgb="FFFF0000"/>
        <rFont val="微软雅黑"/>
        <family val="2"/>
        <charset val="134"/>
      </rPr>
      <t>无方案</t>
    </r>
    <r>
      <rPr>
        <sz val="12"/>
        <color theme="1"/>
        <rFont val="微软雅黑"/>
        <family val="2"/>
        <charset val="134"/>
      </rPr>
      <t>'时，即表示所选车型无此“还款方式”或 对应期限 的贴息方案
4、系统录入选择贷款方案时，注意选择带有“方案名称关键字”的方案名称</t>
    </r>
    <phoneticPr fontId="1" type="noConversion"/>
  </si>
  <si>
    <r>
      <t>（固定）贷款金额</t>
    </r>
    <r>
      <rPr>
        <b/>
        <sz val="10"/>
        <color rgb="FFFF0000"/>
        <rFont val="微软雅黑"/>
        <family val="2"/>
        <charset val="134"/>
      </rPr>
      <t>*</t>
    </r>
    <phoneticPr fontId="1" type="noConversion"/>
  </si>
  <si>
    <t>GL8 陆尚 PHEV</t>
    <phoneticPr fontId="1" type="noConversion"/>
  </si>
  <si>
    <t>陆尚 PHEV</t>
    <phoneticPr fontId="1" type="noConversion"/>
  </si>
  <si>
    <t>GL8 陆尚_PHEV</t>
    <phoneticPr fontId="1" type="noConversion"/>
  </si>
  <si>
    <t>GL8 陆尊_PHEV</t>
    <phoneticPr fontId="1" type="noConversion"/>
  </si>
  <si>
    <t>双优贷1.0
（等额本息类）</t>
    <phoneticPr fontId="1" type="noConversion"/>
  </si>
  <si>
    <t>注：公牌/个体户类/商用申请 首付30%起（陆尊PHEV、陆尚PHEV、微蓝为25%起）</t>
    <phoneticPr fontId="1" type="noConversion"/>
  </si>
  <si>
    <t>首年0息
（定额1+4阶梯贷）</t>
    <phoneticPr fontId="1" type="noConversion"/>
  </si>
  <si>
    <t>新公牌易贷
（企业申请、上公牌）</t>
    <phoneticPr fontId="1" type="noConversion"/>
  </si>
  <si>
    <t>营运_客运
（客运公司申请、上公牌）</t>
    <phoneticPr fontId="1" type="noConversion"/>
  </si>
  <si>
    <t>营运_租赁
（租赁公司申请、上公牌）</t>
    <phoneticPr fontId="1" type="noConversion"/>
  </si>
  <si>
    <t>不区分台次或贷款金额
（但累计贷款金额需在170万以内）</t>
    <phoneticPr fontId="33" type="noConversion"/>
  </si>
  <si>
    <t xml:space="preserve"> - 公司营业执照+公章
 - 法定代表人身份证（股东担保时，可接受法人签章代替法人签字）
 -  担保人身份证、持股大于等于25%的股东身份证件（如股东为非自然人 ，提供营业执照）及受益所有人身份证件</t>
    <phoneticPr fontId="1" type="noConversion"/>
  </si>
  <si>
    <t>银行流水、房产资料、
财务报表、完税凭证、
公司章程或验资报告；
租赁合同、协议或意向书；
以及AM尽职调查报告</t>
    <phoneticPr fontId="1" type="noConversion"/>
  </si>
  <si>
    <t>E速通系统车型</t>
    <phoneticPr fontId="1" type="noConversion"/>
  </si>
  <si>
    <t>常规贴息
（个人&amp;公户）</t>
    <phoneticPr fontId="1" type="noConversion"/>
  </si>
  <si>
    <t>1+4阶梯贷
（个人）</t>
    <phoneticPr fontId="1" type="noConversion"/>
  </si>
  <si>
    <t>双优贷2.0
（个人）</t>
    <phoneticPr fontId="1" type="noConversion"/>
  </si>
  <si>
    <t>双优贷1.0
（个人）</t>
    <phoneticPr fontId="1" type="noConversion"/>
  </si>
  <si>
    <t>厂贴免息贷款额
上限参考</t>
    <phoneticPr fontId="1" type="noConversion"/>
  </si>
  <si>
    <t>昂科威Plus 28T 四驱白金版</t>
  </si>
  <si>
    <t>昂科威Plus 艾维亚</t>
  </si>
  <si>
    <t>昂科威S 25T 白金版</t>
  </si>
  <si>
    <t>昂科威S 25T 先锋版</t>
  </si>
  <si>
    <t>昂科威S 25T 炫黑风尚版</t>
  </si>
  <si>
    <t>昂科威S 25T 进享白金版</t>
  </si>
  <si>
    <t>昂科威S 28T 炫黑尊尚版</t>
  </si>
  <si>
    <t>君越 白金版艾维亚</t>
  </si>
  <si>
    <t>新君威 28T 纵享版</t>
  </si>
  <si>
    <t>昂科威Plus 28T 白金版</t>
    <phoneticPr fontId="1" type="noConversion"/>
  </si>
  <si>
    <t>昂科威Plus</t>
    <phoneticPr fontId="1" type="noConversion"/>
  </si>
  <si>
    <t>昂科威S 25T 白金版</t>
    <phoneticPr fontId="1" type="noConversion"/>
  </si>
  <si>
    <t>昂科威S</t>
    <phoneticPr fontId="1" type="noConversion"/>
  </si>
  <si>
    <t>君越 28T 白金版</t>
    <phoneticPr fontId="1" type="noConversion"/>
  </si>
  <si>
    <t>君越</t>
    <phoneticPr fontId="1" type="noConversion"/>
  </si>
  <si>
    <t>新君威 25T 超享版</t>
    <phoneticPr fontId="1" type="noConversion"/>
  </si>
  <si>
    <t>新君威</t>
  </si>
  <si>
    <t>半付半贷
超低月供
（5050智慧式）</t>
    <phoneticPr fontId="33" type="noConversion"/>
  </si>
  <si>
    <t>厂商贴息
金额参考</t>
    <phoneticPr fontId="1" type="noConversion"/>
  </si>
  <si>
    <t>5050智慧贷
(个人）</t>
    <phoneticPr fontId="1" type="noConversion"/>
  </si>
  <si>
    <t>1-5期</t>
    <phoneticPr fontId="1" type="noConversion"/>
  </si>
  <si>
    <t>6期</t>
    <phoneticPr fontId="1" type="noConversion"/>
  </si>
  <si>
    <t>7-11期</t>
    <phoneticPr fontId="1" type="noConversion"/>
  </si>
  <si>
    <t>13-17期</t>
    <phoneticPr fontId="1" type="noConversion"/>
  </si>
  <si>
    <t>19-23期</t>
    <phoneticPr fontId="1" type="noConversion"/>
  </si>
  <si>
    <t>24期（尾款）</t>
    <phoneticPr fontId="1" type="noConversion"/>
  </si>
  <si>
    <t>注：通过小管家报单的申请，请先任选一个方案提交到E速通，再修改为“6666”方案后正式发送申请</t>
    <phoneticPr fontId="1" type="noConversion"/>
  </si>
  <si>
    <t>注：通过小管家报单的申请，请先任选一个方案提交到E速通，再修改为“1+4阶梯贷”方案后正式发送申请</t>
    <phoneticPr fontId="1" type="noConversion"/>
  </si>
  <si>
    <t>60期
贷款金额(定额)</t>
    <phoneticPr fontId="1" type="noConversion"/>
  </si>
  <si>
    <t>陆尊_PHEV</t>
  </si>
  <si>
    <t>合同年化利率</t>
    <phoneticPr fontId="1" type="noConversion"/>
  </si>
  <si>
    <t>贷款金额*</t>
    <phoneticPr fontId="33" type="noConversion"/>
  </si>
  <si>
    <t>系统方案名称关键字</t>
    <phoneticPr fontId="1" type="noConversion"/>
  </si>
  <si>
    <t>定额 低息
（6666分段式）</t>
    <phoneticPr fontId="1" type="noConversion"/>
  </si>
  <si>
    <t>双优贷1.0-非厂商贴息</t>
    <phoneticPr fontId="1" type="noConversion"/>
  </si>
  <si>
    <t>双优贷1.0-经销商贴息</t>
    <phoneticPr fontId="1" type="noConversion"/>
  </si>
  <si>
    <t>常规低息 (18-60期）
1+4定额首年免息（60期）
双优贷2.0（60期）
双优贷1.0（60期）</t>
    <phoneticPr fontId="1" type="noConversion"/>
  </si>
  <si>
    <t>常规低息 (12-60期）
双优贷2.0（60期）
双优贷1.0（60期）</t>
    <phoneticPr fontId="1" type="noConversion"/>
  </si>
  <si>
    <t>常规低息 (18-60期）
双优贷2.0（60期）
双优贷1.0（60期）</t>
    <phoneticPr fontId="1" type="noConversion"/>
  </si>
  <si>
    <t>系统方案名称关键字</t>
    <phoneticPr fontId="33" type="noConversion"/>
  </si>
  <si>
    <r>
      <t xml:space="preserve">贷款金额*
</t>
    </r>
    <r>
      <rPr>
        <sz val="8"/>
        <color theme="1"/>
        <rFont val="微软雅黑"/>
        <family val="2"/>
        <charset val="134"/>
      </rPr>
      <t>(=总价*50%）</t>
    </r>
    <phoneticPr fontId="33" type="noConversion"/>
  </si>
  <si>
    <r>
      <t xml:space="preserve">客户试算
</t>
    </r>
    <r>
      <rPr>
        <b/>
        <sz val="12"/>
        <color theme="1"/>
        <rFont val="微软雅黑"/>
        <family val="2"/>
        <charset val="134"/>
      </rPr>
      <t>总</t>
    </r>
    <r>
      <rPr>
        <sz val="12"/>
        <color theme="1"/>
        <rFont val="微软雅黑"/>
        <family val="2"/>
        <charset val="134"/>
      </rPr>
      <t>利息</t>
    </r>
    <phoneticPr fontId="1" type="noConversion"/>
  </si>
  <si>
    <r>
      <t>客户试算
年化</t>
    </r>
    <r>
      <rPr>
        <b/>
        <sz val="12"/>
        <color theme="1"/>
        <rFont val="微软雅黑"/>
        <family val="2"/>
        <charset val="134"/>
      </rPr>
      <t>利</t>
    </r>
    <r>
      <rPr>
        <sz val="12"/>
        <color theme="1"/>
        <rFont val="微软雅黑"/>
        <family val="2"/>
        <charset val="134"/>
      </rPr>
      <t>率</t>
    </r>
    <phoneticPr fontId="1" type="noConversion"/>
  </si>
  <si>
    <r>
      <t>客户试算
年化</t>
    </r>
    <r>
      <rPr>
        <b/>
        <sz val="12"/>
        <color theme="1"/>
        <rFont val="微软雅黑"/>
        <family val="2"/>
        <charset val="134"/>
      </rPr>
      <t>费</t>
    </r>
    <r>
      <rPr>
        <sz val="12"/>
        <color theme="1"/>
        <rFont val="微软雅黑"/>
        <family val="2"/>
        <charset val="134"/>
      </rPr>
      <t>率</t>
    </r>
    <phoneticPr fontId="1" type="noConversion"/>
  </si>
  <si>
    <r>
      <t>客户试算
总</t>
    </r>
    <r>
      <rPr>
        <b/>
        <sz val="12"/>
        <color theme="1"/>
        <rFont val="微软雅黑"/>
        <family val="2"/>
        <charset val="134"/>
      </rPr>
      <t>费</t>
    </r>
    <r>
      <rPr>
        <sz val="11"/>
        <color theme="1"/>
        <rFont val="微软雅黑"/>
        <family val="2"/>
        <charset val="134"/>
      </rPr>
      <t>率</t>
    </r>
    <phoneticPr fontId="1" type="noConversion"/>
  </si>
  <si>
    <r>
      <rPr>
        <b/>
        <sz val="12"/>
        <color theme="1"/>
        <rFont val="微软雅黑"/>
        <family val="2"/>
        <charset val="134"/>
      </rPr>
      <t>总价</t>
    </r>
    <r>
      <rPr>
        <sz val="12"/>
        <color theme="1"/>
        <rFont val="微软雅黑"/>
        <family val="2"/>
        <charset val="134"/>
      </rPr>
      <t>金额下限</t>
    </r>
    <phoneticPr fontId="1" type="noConversion"/>
  </si>
  <si>
    <t>个人申请：厂贴_常规贴息_60期10万定额贷_1+4阶梯贷</t>
    <phoneticPr fontId="1" type="noConversion"/>
  </si>
  <si>
    <t>12期(尾款）</t>
    <phoneticPr fontId="1" type="noConversion"/>
  </si>
  <si>
    <r>
      <rPr>
        <b/>
        <sz val="18"/>
        <color rgb="FFFFFF00"/>
        <rFont val="幼圆"/>
        <family val="3"/>
        <charset val="134"/>
      </rPr>
      <t>企业商用</t>
    </r>
    <r>
      <rPr>
        <b/>
        <sz val="11"/>
        <color rgb="FFFFFF00"/>
        <rFont val="微软雅黑"/>
        <family val="2"/>
        <charset val="134"/>
      </rPr>
      <t>（公司申请，上公司牌照）</t>
    </r>
    <r>
      <rPr>
        <b/>
        <sz val="11"/>
        <color theme="0"/>
        <rFont val="微软雅黑"/>
        <family val="2"/>
        <charset val="134"/>
      </rPr>
      <t>-营运贷产品准入政策：</t>
    </r>
    <phoneticPr fontId="33" type="noConversion"/>
  </si>
  <si>
    <r>
      <t xml:space="preserve">   
</t>
    </r>
    <r>
      <rPr>
        <b/>
        <sz val="10"/>
        <color theme="1"/>
        <rFont val="微软雅黑"/>
        <family val="2"/>
        <charset val="134"/>
      </rPr>
      <t>个体户经营者居住地、个体户经营者工作地，以及经销商所在地在同一省份。</t>
    </r>
    <r>
      <rPr>
        <sz val="10"/>
        <color theme="1"/>
        <rFont val="微软雅黑"/>
        <family val="2"/>
        <charset val="134"/>
      </rPr>
      <t>（申请人须与个体户经营者保持一致，个体户经营者名下驾照）
注：1、个体工商户升级产品政策仅适用</t>
    </r>
    <r>
      <rPr>
        <b/>
        <sz val="10"/>
        <color rgb="FFFF0000"/>
        <rFont val="微软雅黑"/>
        <family val="2"/>
        <charset val="134"/>
      </rPr>
      <t>江苏省、宁波、福州、厦门、莆田、石家庄、郑州、乌鲁木齐</t>
    </r>
    <r>
      <rPr>
        <sz val="10"/>
        <color theme="1"/>
        <rFont val="微软雅黑"/>
        <family val="2"/>
        <charset val="134"/>
      </rPr>
      <t>（具体以系统为准）
       2、个体工商户升级促销产品与个体工商户促销产品的厂商贴息政策一致
         （个体工商户升级产品是个体户经营者个人申请贷款，上个体户牌照，请注意在E速通系统中选择带有“</t>
    </r>
    <r>
      <rPr>
        <b/>
        <sz val="10"/>
        <color rgb="FFFF0000"/>
        <rFont val="微软雅黑"/>
        <family val="2"/>
        <charset val="134"/>
      </rPr>
      <t>个体工商户升级</t>
    </r>
    <r>
      <rPr>
        <sz val="10"/>
        <color theme="1"/>
        <rFont val="微软雅黑"/>
        <family val="2"/>
        <charset val="134"/>
      </rPr>
      <t>”字样的方案）
       3、不支持公务员/政府工作人员/军人等相关单位/职业申请该方案</t>
    </r>
    <phoneticPr fontId="1" type="noConversion"/>
  </si>
  <si>
    <r>
      <rPr>
        <b/>
        <sz val="11"/>
        <color theme="0"/>
        <rFont val="微软雅黑"/>
        <family val="2"/>
        <charset val="134"/>
      </rPr>
      <t>经销商附加品和服务金额上限要求</t>
    </r>
    <r>
      <rPr>
        <b/>
        <sz val="10"/>
        <color rgb="FFFFFF00"/>
        <rFont val="微软雅黑"/>
        <family val="2"/>
        <charset val="134"/>
      </rPr>
      <t xml:space="preserve">
“标准附加品”指：保值焕新服务/轮胎保障服务/严选置换保障/严选行车卫士</t>
    </r>
    <phoneticPr fontId="33" type="noConversion"/>
  </si>
  <si>
    <t>全新GL8陆尊 智享版 新能源</t>
    <phoneticPr fontId="1" type="noConversion"/>
  </si>
  <si>
    <t>全新GL8陆尊 尊享版 新能源</t>
    <phoneticPr fontId="1" type="noConversion"/>
  </si>
  <si>
    <t>全新GL8陆尊 奢享版 新能源</t>
    <phoneticPr fontId="1" type="noConversion"/>
  </si>
  <si>
    <t>全新GL8 陆尊 新能源</t>
    <phoneticPr fontId="1" type="noConversion"/>
  </si>
  <si>
    <t>全新GL8_陆尊_新能源</t>
    <phoneticPr fontId="1" type="noConversion"/>
  </si>
  <si>
    <t>常规 5.99%
1+4阶梯贷  7.98%
双优贷2.0  11.60%
双优贷1.0  9.70%</t>
    <phoneticPr fontId="1" type="noConversion"/>
  </si>
  <si>
    <t>智享DG-YZ版</t>
    <phoneticPr fontId="1" type="noConversion"/>
  </si>
  <si>
    <t>智享版</t>
    <phoneticPr fontId="1" type="noConversion"/>
  </si>
  <si>
    <t xml:space="preserve">企业申请：厂贴_5.99贴息 新公牌易贷/个体工商户  18期/24-60期 
企业商用：厂贴_5.99贴息 营运租赁  18期/24-36期 </t>
    <phoneticPr fontId="1" type="noConversion"/>
  </si>
  <si>
    <t>个人申请：厂贴_5.99贴息_5050_12期</t>
  </si>
  <si>
    <t>5050车系</t>
    <phoneticPr fontId="1" type="noConversion"/>
  </si>
  <si>
    <t>注意：
1、请注意E速通系统所选车型与DOSS系统上报车型保持一致，尤其要注意区分新旧款车型，若因车型不一致导致的贴息差额，需由经销商承担，在其他客户放款金额中扣除，后续会开具经销商贴息发票；
2、关于具体的贴息结算，请以厂商公告为准或者与区域营销中心MAC进行确认；对于特殊折扣车辆（如试驾车、集团采购等），不享受厂商贴息支持，具体可通过店内销售经理“经销商业务百事通”账号进行查询（操作方法见右图）；
3、贴息方式：厂商直接贴息（无需经销商承担贴息费用；不扣减放款金额），
4、大额零售业务可参考“厂贴-常规贴息等额本息类（低息）”【商用：营运】模块进行测算</t>
    <phoneticPr fontId="1" type="noConversion"/>
  </si>
  <si>
    <t>合同综合
年化利率</t>
    <phoneticPr fontId="1" type="noConversion"/>
  </si>
  <si>
    <t>厂贴金额</t>
    <phoneticPr fontId="1" type="noConversion"/>
  </si>
  <si>
    <t>6666分段式
（个人）</t>
    <phoneticPr fontId="1" type="noConversion"/>
  </si>
  <si>
    <t>24期
贷款金额(定额)</t>
    <phoneticPr fontId="1" type="noConversion"/>
  </si>
  <si>
    <t>常规低息 (18-60期)
5050低息（12期）
6666定额低息（24期）
双优贷2.0（60期）
双优贷1.0（60期）</t>
    <phoneticPr fontId="1" type="noConversion"/>
  </si>
  <si>
    <t>厂贴_5050 6666</t>
    <phoneticPr fontId="1" type="noConversion"/>
  </si>
  <si>
    <t>常规  5.99%
5050智慧式  5.99%
6666分段式  5.99%
双优贷2.0  11.60%
双优贷1.0  9.70%</t>
    <phoneticPr fontId="1" type="noConversion"/>
  </si>
  <si>
    <t>常规贴息低息12期</t>
    <phoneticPr fontId="1" type="noConversion"/>
  </si>
  <si>
    <t>常规12期方案厂贴比例</t>
    <phoneticPr fontId="1" type="noConversion"/>
  </si>
  <si>
    <t>注：陆上公务舱智享DG-YZ版为企业客户专享车型，仅可申请公户方案</t>
    <phoneticPr fontId="1" type="noConversion"/>
  </si>
  <si>
    <r>
      <t>说明：
1、表格中</t>
    </r>
    <r>
      <rPr>
        <b/>
        <sz val="12"/>
        <color theme="8" tint="-0.499984740745262"/>
        <rFont val="微软雅黑"/>
        <family val="2"/>
        <charset val="134"/>
      </rPr>
      <t>蓝底</t>
    </r>
    <r>
      <rPr>
        <b/>
        <sz val="12"/>
        <color theme="0"/>
        <rFont val="微软雅黑"/>
        <family val="2"/>
        <charset val="134"/>
      </rPr>
      <t>白字</t>
    </r>
    <r>
      <rPr>
        <sz val="12"/>
        <color theme="1"/>
        <rFont val="微软雅黑"/>
        <family val="2"/>
        <charset val="134"/>
      </rPr>
      <t xml:space="preserve">的单元格，为可修改项。可直接输入或从下拉菜单中进行选择。
2、当“贷款金额下限”或“贷款金额上限数值项变为 </t>
    </r>
    <r>
      <rPr>
        <sz val="12"/>
        <color rgb="FFFF0000"/>
        <rFont val="微软雅黑"/>
        <family val="2"/>
        <charset val="134"/>
      </rPr>
      <t>红字且</t>
    </r>
    <r>
      <rPr>
        <sz val="12"/>
        <color rgb="FFFFFF00"/>
        <rFont val="微软雅黑"/>
        <family val="2"/>
        <charset val="134"/>
      </rPr>
      <t>黄色高亮</t>
    </r>
    <r>
      <rPr>
        <sz val="12"/>
        <color theme="1"/>
        <rFont val="微软雅黑"/>
        <family val="2"/>
        <charset val="134"/>
      </rPr>
      <t xml:space="preserve">时，需调整第9行“贷款金额”输入的数值
3、当某‘还款方式’的试算行多处显示 </t>
    </r>
    <r>
      <rPr>
        <sz val="12"/>
        <color theme="4" tint="-0.249977111117893"/>
        <rFont val="微软雅黑"/>
        <family val="2"/>
        <charset val="134"/>
      </rPr>
      <t>#VALUE!</t>
    </r>
    <r>
      <rPr>
        <sz val="12"/>
        <color theme="1"/>
        <rFont val="微软雅黑"/>
        <family val="2"/>
        <charset val="134"/>
      </rPr>
      <t xml:space="preserve"> 或 </t>
    </r>
    <r>
      <rPr>
        <sz val="12"/>
        <color theme="4" tint="-0.249977111117893"/>
        <rFont val="微软雅黑"/>
        <family val="2"/>
        <charset val="134"/>
      </rPr>
      <t xml:space="preserve"> *N/A</t>
    </r>
    <r>
      <rPr>
        <sz val="12"/>
        <color theme="1"/>
        <rFont val="微软雅黑"/>
        <family val="2"/>
        <charset val="134"/>
      </rPr>
      <t xml:space="preserve"> 时，或</t>
    </r>
    <r>
      <rPr>
        <b/>
        <sz val="12"/>
        <color theme="1"/>
        <rFont val="微软雅黑"/>
        <family val="2"/>
        <charset val="134"/>
      </rPr>
      <t>L列</t>
    </r>
    <r>
      <rPr>
        <sz val="12"/>
        <color theme="1"/>
        <rFont val="微软雅黑"/>
        <family val="2"/>
        <charset val="134"/>
      </rPr>
      <t>显示'</t>
    </r>
    <r>
      <rPr>
        <sz val="12"/>
        <color rgb="FFFF0000"/>
        <rFont val="微软雅黑"/>
        <family val="2"/>
        <charset val="134"/>
      </rPr>
      <t>无方案</t>
    </r>
    <r>
      <rPr>
        <sz val="12"/>
        <color theme="1"/>
        <rFont val="微软雅黑"/>
        <family val="2"/>
        <charset val="134"/>
      </rPr>
      <t>'时，即表示所选车型无此“还款方式”或 对应期限 的贴息方案（注：</t>
    </r>
    <r>
      <rPr>
        <sz val="12"/>
        <color rgb="FFFF0000"/>
        <rFont val="微软雅黑"/>
        <family val="2"/>
        <charset val="134"/>
      </rPr>
      <t xml:space="preserve">全新GL8陆上公务舱'智享DG-YZ版' </t>
    </r>
    <r>
      <rPr>
        <b/>
        <sz val="12"/>
        <color rgb="FFFF0000"/>
        <rFont val="微软雅黑"/>
        <family val="2"/>
        <charset val="134"/>
      </rPr>
      <t>不</t>
    </r>
    <r>
      <rPr>
        <sz val="12"/>
        <color rgb="FFFF0000"/>
        <rFont val="微软雅黑"/>
        <family val="2"/>
        <charset val="134"/>
      </rPr>
      <t>可申请双优贷方案</t>
    </r>
    <r>
      <rPr>
        <sz val="12"/>
        <color theme="1"/>
        <rFont val="微软雅黑"/>
        <family val="2"/>
        <charset val="134"/>
      </rPr>
      <t>）
4、系统录入选择贷款方案时，注意选择带有“方案名称关键字”的方案名称
5、双优贷方案仅可附加</t>
    </r>
    <r>
      <rPr>
        <b/>
        <sz val="12"/>
        <color theme="1"/>
        <rFont val="微软雅黑"/>
        <family val="2"/>
        <charset val="134"/>
      </rPr>
      <t>购置税及保险费</t>
    </r>
    <phoneticPr fontId="1" type="noConversion"/>
  </si>
  <si>
    <t>常规 5.99%
双优贷2.0  11.60%
双优贷1.0  9.70%</t>
    <phoneticPr fontId="1" type="noConversion"/>
  </si>
  <si>
    <r>
      <t>说明：
1、表格中</t>
    </r>
    <r>
      <rPr>
        <b/>
        <sz val="12"/>
        <color theme="8" tint="-0.499984740745262"/>
        <rFont val="微软雅黑"/>
        <family val="2"/>
        <charset val="134"/>
      </rPr>
      <t>蓝底</t>
    </r>
    <r>
      <rPr>
        <b/>
        <sz val="12"/>
        <color theme="0"/>
        <rFont val="微软雅黑"/>
        <family val="2"/>
        <charset val="134"/>
      </rPr>
      <t>白字</t>
    </r>
    <r>
      <rPr>
        <sz val="12"/>
        <color theme="1"/>
        <rFont val="微软雅黑"/>
        <family val="2"/>
        <charset val="134"/>
      </rPr>
      <t>的单元格，为可修改项。可直接输入或从下拉菜单中进行选择。
2、当某‘还款方式’的试算行多处显示 #VALUE! 或  *N/A 时，或</t>
    </r>
    <r>
      <rPr>
        <b/>
        <sz val="12"/>
        <color theme="1"/>
        <rFont val="微软雅黑"/>
        <family val="2"/>
        <charset val="134"/>
      </rPr>
      <t>K列/L列</t>
    </r>
    <r>
      <rPr>
        <sz val="12"/>
        <color theme="1"/>
        <rFont val="微软雅黑"/>
        <family val="2"/>
        <charset val="134"/>
      </rPr>
      <t>显示'</t>
    </r>
    <r>
      <rPr>
        <sz val="12"/>
        <color rgb="FFFF0000"/>
        <rFont val="微软雅黑"/>
        <family val="2"/>
        <charset val="134"/>
      </rPr>
      <t>无方案</t>
    </r>
    <r>
      <rPr>
        <sz val="12"/>
        <color theme="1"/>
        <rFont val="微软雅黑"/>
        <family val="2"/>
        <charset val="134"/>
      </rPr>
      <t>'时，即表示所选车型</t>
    </r>
    <r>
      <rPr>
        <b/>
        <sz val="12"/>
        <color rgb="FFFF0000"/>
        <rFont val="微软雅黑"/>
        <family val="2"/>
        <charset val="134"/>
      </rPr>
      <t>无</t>
    </r>
    <r>
      <rPr>
        <sz val="12"/>
        <color theme="1"/>
        <rFont val="微软雅黑"/>
        <family val="2"/>
        <charset val="134"/>
      </rPr>
      <t>此“还款方式”或 对应期限 的贴息方案
3、系统录入选择贷款方案时，注意选择带有“方案名称关键字”的方案名称
4、1+4阶梯贷方案</t>
    </r>
    <r>
      <rPr>
        <b/>
        <sz val="12"/>
        <color theme="1"/>
        <rFont val="微软雅黑"/>
        <family val="2"/>
        <charset val="134"/>
      </rPr>
      <t>不支持附加品贷</t>
    </r>
    <phoneticPr fontId="1" type="noConversion"/>
  </si>
  <si>
    <t>个人申请：厂贴_常规贴息_60期8万定额贷_1+4阶梯贷</t>
    <phoneticPr fontId="1" type="noConversion"/>
  </si>
  <si>
    <t xml:space="preserve">GL8陆尊燃油版 智享版 </t>
    <phoneticPr fontId="1" type="noConversion"/>
  </si>
  <si>
    <t xml:space="preserve">GL8陆尊燃油版 尊享版 </t>
    <phoneticPr fontId="1" type="noConversion"/>
  </si>
  <si>
    <t xml:space="preserve">GL8陆尊燃油版 奢享版 </t>
    <phoneticPr fontId="1" type="noConversion"/>
  </si>
  <si>
    <t>GL8陆尊燃油版</t>
    <phoneticPr fontId="1" type="noConversion"/>
  </si>
  <si>
    <t>智享版/尊享版/奢享版</t>
    <phoneticPr fontId="1" type="noConversion"/>
  </si>
  <si>
    <t>陆尊 ES</t>
    <phoneticPr fontId="1" type="noConversion"/>
  </si>
  <si>
    <t>陆尊_ES</t>
    <phoneticPr fontId="1" type="noConversion"/>
  </si>
  <si>
    <t>厂贴双优贷车系参数</t>
    <phoneticPr fontId="1" type="noConversion"/>
  </si>
  <si>
    <t>至境L7</t>
  </si>
  <si>
    <t>至境L7</t>
    <phoneticPr fontId="1" type="noConversion"/>
  </si>
  <si>
    <r>
      <t>GL8陆尊燃油版</t>
    </r>
    <r>
      <rPr>
        <sz val="12"/>
        <color theme="1"/>
        <rFont val="微软雅黑"/>
        <family val="2"/>
        <charset val="134"/>
      </rPr>
      <t>(26MY)</t>
    </r>
    <phoneticPr fontId="1" type="noConversion"/>
  </si>
  <si>
    <r>
      <t>至境</t>
    </r>
    <r>
      <rPr>
        <sz val="10"/>
        <color rgb="FF000000"/>
        <rFont val="Arial"/>
        <family val="2"/>
      </rPr>
      <t xml:space="preserve">L7 </t>
    </r>
    <r>
      <rPr>
        <sz val="10"/>
        <color rgb="FF000000"/>
        <rFont val="微软雅黑"/>
        <family val="2"/>
        <charset val="134"/>
      </rPr>
      <t>尊享版</t>
    </r>
    <r>
      <rPr>
        <sz val="10"/>
        <color rgb="FF000000"/>
        <rFont val="Arial"/>
        <family val="2"/>
      </rPr>
      <t xml:space="preserve"> </t>
    </r>
    <r>
      <rPr>
        <sz val="10"/>
        <color rgb="FF000000"/>
        <rFont val="微软雅黑"/>
        <family val="2"/>
        <charset val="134"/>
      </rPr>
      <t>增程式</t>
    </r>
    <r>
      <rPr>
        <sz val="10"/>
        <color rgb="FF000000"/>
        <rFont val="Arial"/>
        <family val="2"/>
      </rPr>
      <t xml:space="preserve"> </t>
    </r>
    <r>
      <rPr>
        <sz val="10"/>
        <color rgb="FF000000"/>
        <rFont val="微软雅黑"/>
        <family val="2"/>
        <charset val="134"/>
      </rPr>
      <t>新能源</t>
    </r>
    <phoneticPr fontId="1" type="noConversion"/>
  </si>
  <si>
    <r>
      <t>至境</t>
    </r>
    <r>
      <rPr>
        <sz val="10"/>
        <color rgb="FF000000"/>
        <rFont val="Arial"/>
        <family val="2"/>
      </rPr>
      <t xml:space="preserve">L7 </t>
    </r>
    <r>
      <rPr>
        <sz val="10"/>
        <color rgb="FF000000"/>
        <rFont val="微软雅黑"/>
        <family val="2"/>
        <charset val="134"/>
      </rPr>
      <t>奢享版</t>
    </r>
    <r>
      <rPr>
        <sz val="10"/>
        <color rgb="FF000000"/>
        <rFont val="Arial"/>
        <family val="2"/>
      </rPr>
      <t xml:space="preserve"> </t>
    </r>
    <r>
      <rPr>
        <sz val="10"/>
        <color rgb="FF000000"/>
        <rFont val="微软雅黑"/>
        <family val="2"/>
        <charset val="134"/>
      </rPr>
      <t>增程式</t>
    </r>
    <r>
      <rPr>
        <sz val="10"/>
        <color rgb="FF000000"/>
        <rFont val="Arial"/>
        <family val="2"/>
      </rPr>
      <t xml:space="preserve"> </t>
    </r>
    <r>
      <rPr>
        <sz val="10"/>
        <color rgb="FF000000"/>
        <rFont val="微软雅黑"/>
        <family val="2"/>
        <charset val="134"/>
      </rPr>
      <t>新能源</t>
    </r>
    <phoneticPr fontId="1" type="noConversion"/>
  </si>
  <si>
    <r>
      <t>至境</t>
    </r>
    <r>
      <rPr>
        <sz val="10"/>
        <color rgb="FF000000"/>
        <rFont val="Arial"/>
        <family val="2"/>
      </rPr>
      <t xml:space="preserve">L7 </t>
    </r>
    <r>
      <rPr>
        <sz val="10"/>
        <color rgb="FF000000"/>
        <rFont val="微软雅黑"/>
        <family val="2"/>
        <charset val="134"/>
      </rPr>
      <t>尊享逍遥智行版</t>
    </r>
    <r>
      <rPr>
        <sz val="10"/>
        <color rgb="FF000000"/>
        <rFont val="Arial"/>
        <family val="2"/>
      </rPr>
      <t xml:space="preserve"> </t>
    </r>
    <r>
      <rPr>
        <sz val="10"/>
        <color rgb="FF000000"/>
        <rFont val="微软雅黑"/>
        <family val="2"/>
        <charset val="134"/>
      </rPr>
      <t>增程式</t>
    </r>
    <r>
      <rPr>
        <sz val="10"/>
        <color rgb="FF000000"/>
        <rFont val="Arial"/>
        <family val="2"/>
      </rPr>
      <t xml:space="preserve"> </t>
    </r>
    <r>
      <rPr>
        <sz val="10"/>
        <color rgb="FF000000"/>
        <rFont val="微软雅黑"/>
        <family val="2"/>
        <charset val="134"/>
      </rPr>
      <t>新能源</t>
    </r>
    <phoneticPr fontId="1" type="noConversion"/>
  </si>
  <si>
    <r>
      <t>至境</t>
    </r>
    <r>
      <rPr>
        <sz val="10"/>
        <color rgb="FF000000"/>
        <rFont val="Arial"/>
        <family val="2"/>
      </rPr>
      <t xml:space="preserve">L7 </t>
    </r>
    <r>
      <rPr>
        <sz val="10"/>
        <color rgb="FF000000"/>
        <rFont val="微软雅黑"/>
        <family val="2"/>
        <charset val="134"/>
      </rPr>
      <t>奢享逍遥智行版</t>
    </r>
    <r>
      <rPr>
        <sz val="10"/>
        <color rgb="FF000000"/>
        <rFont val="Arial"/>
        <family val="2"/>
      </rPr>
      <t xml:space="preserve"> </t>
    </r>
    <r>
      <rPr>
        <sz val="10"/>
        <color rgb="FF000000"/>
        <rFont val="微软雅黑"/>
        <family val="2"/>
        <charset val="134"/>
      </rPr>
      <t>增程式</t>
    </r>
    <r>
      <rPr>
        <sz val="10"/>
        <color rgb="FF000000"/>
        <rFont val="Arial"/>
        <family val="2"/>
      </rPr>
      <t xml:space="preserve"> </t>
    </r>
    <r>
      <rPr>
        <sz val="10"/>
        <color rgb="FF000000"/>
        <rFont val="微软雅黑"/>
        <family val="2"/>
        <charset val="134"/>
      </rPr>
      <t>新能源</t>
    </r>
    <phoneticPr fontId="1" type="noConversion"/>
  </si>
  <si>
    <r>
      <t>至境</t>
    </r>
    <r>
      <rPr>
        <sz val="10"/>
        <color rgb="FF000000"/>
        <rFont val="Arial"/>
        <family val="2"/>
      </rPr>
      <t xml:space="preserve">L7 </t>
    </r>
    <r>
      <rPr>
        <sz val="10"/>
        <color rgb="FF000000"/>
        <rFont val="微软雅黑"/>
        <family val="2"/>
        <charset val="134"/>
      </rPr>
      <t>艾维亚</t>
    </r>
    <r>
      <rPr>
        <sz val="10"/>
        <color rgb="FF000000"/>
        <rFont val="Arial"/>
        <family val="2"/>
      </rPr>
      <t xml:space="preserve"> </t>
    </r>
    <r>
      <rPr>
        <sz val="10"/>
        <color rgb="FF000000"/>
        <rFont val="微软雅黑"/>
        <family val="2"/>
        <charset val="134"/>
      </rPr>
      <t>增程式</t>
    </r>
    <r>
      <rPr>
        <sz val="10"/>
        <color rgb="FF000000"/>
        <rFont val="Arial"/>
        <family val="2"/>
      </rPr>
      <t xml:space="preserve"> </t>
    </r>
    <r>
      <rPr>
        <sz val="10"/>
        <color rgb="FF000000"/>
        <rFont val="微软雅黑"/>
        <family val="2"/>
        <charset val="134"/>
      </rPr>
      <t>新能源</t>
    </r>
    <phoneticPr fontId="1" type="noConversion"/>
  </si>
  <si>
    <r>
      <t>GL8陆尊燃油版</t>
    </r>
    <r>
      <rPr>
        <sz val="14"/>
        <color theme="1"/>
        <rFont val="微软雅黑"/>
        <family val="2"/>
        <charset val="134"/>
      </rPr>
      <t>(26MY)</t>
    </r>
    <phoneticPr fontId="1" type="noConversion"/>
  </si>
  <si>
    <t>常规低息 (18-60期)
5050低息（12期）
双优贷2.0（60期）
双优贷1.0（60期）</t>
    <phoneticPr fontId="1" type="noConversion"/>
  </si>
  <si>
    <t>个人申请：厂贴_5.99贴息_6666_24期7万定额贷</t>
    <phoneticPr fontId="1" type="noConversion"/>
  </si>
  <si>
    <t>个人申请：厂贴_5.99贴息_6666_24期9万定额贷</t>
    <phoneticPr fontId="1" type="noConversion"/>
  </si>
  <si>
    <t>全新GL8_陆尊_新能源</t>
  </si>
  <si>
    <t>全新GL8陆尊 尊享版 新能源</t>
  </si>
  <si>
    <r>
      <t>车辆贷款金额</t>
    </r>
    <r>
      <rPr>
        <b/>
        <sz val="10"/>
        <color rgb="FFFF0000"/>
        <rFont val="微软雅黑"/>
        <family val="2"/>
        <charset val="134"/>
      </rPr>
      <t>*</t>
    </r>
    <phoneticPr fontId="1" type="noConversion"/>
  </si>
  <si>
    <t>车辆首付比例：</t>
    <phoneticPr fontId="1" type="noConversion"/>
  </si>
  <si>
    <r>
      <t>第二步：按需填写附加品贷款参数</t>
    </r>
    <r>
      <rPr>
        <sz val="11"/>
        <color rgb="FFFF0000"/>
        <rFont val="微软雅黑"/>
        <family val="2"/>
        <charset val="134"/>
      </rPr>
      <t>（注：不适用12期方案）</t>
    </r>
    <phoneticPr fontId="1" type="noConversion"/>
  </si>
  <si>
    <r>
      <t>附加品合计金额</t>
    </r>
    <r>
      <rPr>
        <b/>
        <sz val="11"/>
        <color rgb="FFFF0000"/>
        <rFont val="微软雅黑"/>
        <family val="2"/>
        <charset val="134"/>
      </rPr>
      <t>*</t>
    </r>
    <r>
      <rPr>
        <b/>
        <sz val="11"/>
        <color theme="1"/>
        <rFont val="微软雅黑"/>
        <family val="2"/>
        <charset val="134"/>
      </rPr>
      <t xml:space="preserve">
</t>
    </r>
    <r>
      <rPr>
        <sz val="9"/>
        <color theme="1"/>
        <rFont val="微软雅黑"/>
        <family val="2"/>
        <charset val="134"/>
      </rPr>
      <t>（税、险、精品等）</t>
    </r>
    <phoneticPr fontId="1" type="noConversion"/>
  </si>
  <si>
    <r>
      <t>附加品贷款金额</t>
    </r>
    <r>
      <rPr>
        <b/>
        <sz val="11"/>
        <color rgb="FFFF0000"/>
        <rFont val="微软雅黑"/>
        <family val="2"/>
        <charset val="134"/>
      </rPr>
      <t>*</t>
    </r>
    <phoneticPr fontId="1" type="noConversion"/>
  </si>
  <si>
    <t>附加品首付比例</t>
    <phoneticPr fontId="1" type="noConversion"/>
  </si>
  <si>
    <t>附加品首付比例不得低于20%</t>
    <phoneticPr fontId="1" type="noConversion"/>
  </si>
  <si>
    <r>
      <t xml:space="preserve">总价
</t>
    </r>
    <r>
      <rPr>
        <sz val="10"/>
        <color theme="1"/>
        <rFont val="微软雅黑"/>
        <family val="2"/>
        <charset val="134"/>
      </rPr>
      <t>(车价+附加品）</t>
    </r>
    <phoneticPr fontId="1" type="noConversion"/>
  </si>
  <si>
    <t>贷款金额合计</t>
    <phoneticPr fontId="1" type="noConversion"/>
  </si>
  <si>
    <t>首付金额合计</t>
    <phoneticPr fontId="1" type="noConversion"/>
  </si>
  <si>
    <t>客户首付比例</t>
    <phoneticPr fontId="1" type="noConversion"/>
  </si>
  <si>
    <t>注：公牌/个体户类/商用申请 车辆首付30%起（陆尊PHEV、陆尚PHEV、陆尊新能源、至境L7、微蓝为25%起）</t>
    <phoneticPr fontId="1" type="noConversion"/>
  </si>
  <si>
    <t>车辆贷款金额
下限</t>
    <phoneticPr fontId="1" type="noConversion"/>
  </si>
  <si>
    <r>
      <t>说明：
1、表格中</t>
    </r>
    <r>
      <rPr>
        <b/>
        <sz val="12"/>
        <color theme="8" tint="-0.499984740745262"/>
        <rFont val="微软雅黑"/>
        <family val="2"/>
        <charset val="134"/>
      </rPr>
      <t>蓝底</t>
    </r>
    <r>
      <rPr>
        <b/>
        <sz val="12"/>
        <color theme="0"/>
        <rFont val="微软雅黑"/>
        <family val="2"/>
        <charset val="134"/>
      </rPr>
      <t>白字</t>
    </r>
    <r>
      <rPr>
        <sz val="12"/>
        <color theme="1"/>
        <rFont val="微软雅黑"/>
        <family val="2"/>
        <charset val="134"/>
      </rPr>
      <t xml:space="preserve">的单元格，为可修改项。可直接输入或从下拉菜单中进行选择。
2、当“车辆贷款金额下限”数值项变为 </t>
    </r>
    <r>
      <rPr>
        <sz val="12"/>
        <color rgb="FFFF0000"/>
        <rFont val="微软雅黑"/>
        <family val="2"/>
        <charset val="134"/>
      </rPr>
      <t>红字且</t>
    </r>
    <r>
      <rPr>
        <sz val="12"/>
        <color rgb="FFFFFF00"/>
        <rFont val="微软雅黑"/>
        <family val="2"/>
        <charset val="134"/>
      </rPr>
      <t>黄色高亮</t>
    </r>
    <r>
      <rPr>
        <sz val="12"/>
        <color theme="1"/>
        <rFont val="微软雅黑"/>
        <family val="2"/>
        <charset val="134"/>
      </rPr>
      <t xml:space="preserve">时，需调整第7行“车辆贷款金额”输入的数值
3、当某‘还款方式’的试算行多处显示 </t>
    </r>
    <r>
      <rPr>
        <sz val="12"/>
        <color theme="4" tint="-0.249977111117893"/>
        <rFont val="微软雅黑"/>
        <family val="2"/>
        <charset val="134"/>
      </rPr>
      <t>#VALUE!</t>
    </r>
    <r>
      <rPr>
        <sz val="12"/>
        <color theme="1"/>
        <rFont val="微软雅黑"/>
        <family val="2"/>
        <charset val="134"/>
      </rPr>
      <t xml:space="preserve"> 或 </t>
    </r>
    <r>
      <rPr>
        <sz val="12"/>
        <color theme="4" tint="-0.249977111117893"/>
        <rFont val="微软雅黑"/>
        <family val="2"/>
        <charset val="134"/>
      </rPr>
      <t xml:space="preserve"> *N/A</t>
    </r>
    <r>
      <rPr>
        <sz val="12"/>
        <color theme="1"/>
        <rFont val="微软雅黑"/>
        <family val="2"/>
        <charset val="134"/>
      </rPr>
      <t xml:space="preserve"> 时，或</t>
    </r>
    <r>
      <rPr>
        <b/>
        <sz val="12"/>
        <color theme="1"/>
        <rFont val="微软雅黑"/>
        <family val="2"/>
        <charset val="134"/>
      </rPr>
      <t>K列/L列</t>
    </r>
    <r>
      <rPr>
        <sz val="12"/>
        <color theme="1"/>
        <rFont val="微软雅黑"/>
        <family val="2"/>
        <charset val="134"/>
      </rPr>
      <t>显示'</t>
    </r>
    <r>
      <rPr>
        <sz val="12"/>
        <color rgb="FFFF0000"/>
        <rFont val="微软雅黑"/>
        <family val="2"/>
        <charset val="134"/>
      </rPr>
      <t>无方案</t>
    </r>
    <r>
      <rPr>
        <sz val="12"/>
        <color theme="1"/>
        <rFont val="微软雅黑"/>
        <family val="2"/>
        <charset val="134"/>
      </rPr>
      <t>'时，即表示所选车型无此“还款方式”或 对应期限 的贴息方案（注：</t>
    </r>
    <r>
      <rPr>
        <sz val="12"/>
        <color rgb="FFFF0000"/>
        <rFont val="微软雅黑"/>
        <family val="2"/>
        <charset val="134"/>
      </rPr>
      <t>陆上公务舱'智享DG-YZ版'为企业客户专享车型，仅可申请公户方案</t>
    </r>
    <r>
      <rPr>
        <sz val="12"/>
        <color theme="1"/>
        <rFont val="微软雅黑"/>
        <family val="2"/>
        <charset val="134"/>
      </rPr>
      <t>）
4、系统录入选择贷款方案时，注意选择带有“方案名称关键字”的方案名称
5、12期厂贴 常规贴息方案</t>
    </r>
    <r>
      <rPr>
        <b/>
        <sz val="12"/>
        <color theme="1"/>
        <rFont val="微软雅黑"/>
        <family val="2"/>
        <charset val="134"/>
      </rPr>
      <t>不</t>
    </r>
    <r>
      <rPr>
        <sz val="12"/>
        <color theme="1"/>
        <rFont val="微软雅黑"/>
        <family val="2"/>
        <charset val="134"/>
      </rPr>
      <t>支持附加品贷，</t>
    </r>
    <r>
      <rPr>
        <sz val="12"/>
        <color rgb="FFFF0000"/>
        <rFont val="微软雅黑"/>
        <family val="2"/>
        <charset val="134"/>
      </rPr>
      <t>试算12期方案时应确保第3行‘附加品合计金额’及第4行‘附加品贷款金额’项数值为0</t>
    </r>
    <phoneticPr fontId="1" type="noConversion"/>
  </si>
  <si>
    <t>总价不得超过：</t>
    <phoneticPr fontId="1" type="noConversion"/>
  </si>
  <si>
    <t>全系（24MY及之后）</t>
    <phoneticPr fontId="1" type="noConversion"/>
  </si>
  <si>
    <t>全系(25MY）</t>
    <phoneticPr fontId="1" type="noConversion"/>
  </si>
  <si>
    <t>全系(24MY/25MY/26MY)</t>
    <phoneticPr fontId="1" type="noConversion"/>
  </si>
  <si>
    <t>全系(25MY/26MY）</t>
    <phoneticPr fontId="1" type="noConversion"/>
  </si>
  <si>
    <t>临时拆分 公户方案</t>
    <phoneticPr fontId="1" type="noConversion"/>
  </si>
  <si>
    <t xml:space="preserve">个人申请：厂贴_5.99贴息 新优速贷/个体工商户升级 18期/24-60期 </t>
    <phoneticPr fontId="1" type="noConversion"/>
  </si>
  <si>
    <t xml:space="preserve">个人申请：厂贴_5.99贴息 新优速贷/个体工商户升级 24-60期 </t>
    <phoneticPr fontId="1" type="noConversion"/>
  </si>
  <si>
    <t xml:space="preserve">企业申请：厂贴_5.99贴息 新公牌易贷/个体工商户  24-60期 
企业商用：厂贴_5.99贴息 营运租赁  24-36期 </t>
    <phoneticPr fontId="1" type="noConversion"/>
  </si>
  <si>
    <t xml:space="preserve">个人申请：厂贴_5.99贴息 新优速贷 18-60期 </t>
    <phoneticPr fontId="1" type="noConversion"/>
  </si>
  <si>
    <t xml:space="preserve">企业申请：厂贴_5.99贴息  新公牌易贷 18-60期 
企业商用：厂贴_5.99贴息_营运租赁 18-36期 </t>
    <phoneticPr fontId="1" type="noConversion"/>
  </si>
  <si>
    <t xml:space="preserve">个人申请：厂贴_5.99贴息 新优速贷/个体工商户升级 36-60期 </t>
    <phoneticPr fontId="1" type="noConversion"/>
  </si>
  <si>
    <t xml:space="preserve">企业申请：厂贴_5.99贴息 新公牌易贷/个体工商户 36-60期 
企业商用：厂贴_5.99贴息 营运租赁 36期 </t>
    <phoneticPr fontId="1" type="noConversion"/>
  </si>
  <si>
    <t>个人申请：厂贴_5.99贴息 新优速贷 12期</t>
    <phoneticPr fontId="1" type="noConversion"/>
  </si>
  <si>
    <t>企业申请：厂贴_5.99贴息  新公牌易贷 12期 
企业商用：厂贴_5.99贴息_营运租赁 12期</t>
    <phoneticPr fontId="1" type="noConversion"/>
  </si>
  <si>
    <r>
      <t xml:space="preserve">附加品合计金额*
</t>
    </r>
    <r>
      <rPr>
        <sz val="9"/>
        <color theme="1"/>
        <rFont val="微软雅黑"/>
        <family val="2"/>
        <charset val="134"/>
      </rPr>
      <t>（税、险、精品等）</t>
    </r>
    <phoneticPr fontId="1" type="noConversion"/>
  </si>
  <si>
    <t>厂贴_常规贴息（个人）</t>
    <phoneticPr fontId="1" type="noConversion"/>
  </si>
  <si>
    <t>厂贴_常规贴息（公户）</t>
    <phoneticPr fontId="1" type="noConversion"/>
  </si>
  <si>
    <t>新君威 28T 纵享版</t>
    <phoneticPr fontId="1" type="noConversion"/>
  </si>
  <si>
    <t>新君威 纵享版曜黑竞速</t>
    <phoneticPr fontId="1" type="noConversion"/>
  </si>
  <si>
    <t>新君威 超享版曜黑竞速</t>
    <phoneticPr fontId="1" type="noConversion"/>
  </si>
  <si>
    <r>
      <t>注：
1、双优贷类方案仅可附加购置税及保险费；1+4阶梯贷、6666分段式不支持附加品贷
2、</t>
    </r>
    <r>
      <rPr>
        <sz val="12"/>
        <color theme="1"/>
        <rFont val="微软雅黑"/>
        <family val="2"/>
        <charset val="134"/>
      </rPr>
      <t>附加品的贷款金额上限为附加品总额*</t>
    </r>
    <r>
      <rPr>
        <b/>
        <sz val="12"/>
        <color theme="1"/>
        <rFont val="微软雅黑"/>
        <family val="2"/>
        <charset val="134"/>
      </rPr>
      <t>80%</t>
    </r>
    <r>
      <rPr>
        <sz val="12"/>
        <color theme="1"/>
        <rFont val="微软雅黑"/>
        <family val="2"/>
        <charset val="134"/>
      </rPr>
      <t xml:space="preserve"> </t>
    </r>
    <phoneticPr fontId="1" type="noConversion"/>
  </si>
  <si>
    <r>
      <t>至境</t>
    </r>
    <r>
      <rPr>
        <sz val="12"/>
        <color rgb="FF000000"/>
        <rFont val="宋体"/>
        <family val="3"/>
        <charset val="134"/>
      </rPr>
      <t xml:space="preserve">L7 </t>
    </r>
    <r>
      <rPr>
        <sz val="10"/>
        <color rgb="FF000000"/>
        <rFont val="微软雅黑"/>
        <family val="2"/>
        <charset val="134"/>
      </rPr>
      <t>艾维亚(20)</t>
    </r>
    <r>
      <rPr>
        <sz val="12"/>
        <color rgb="FF000000"/>
        <rFont val="宋体"/>
        <family val="3"/>
        <charset val="134"/>
      </rPr>
      <t xml:space="preserve"> </t>
    </r>
    <r>
      <rPr>
        <sz val="10"/>
        <color rgb="FF000000"/>
        <rFont val="微软雅黑"/>
        <family val="2"/>
        <charset val="134"/>
      </rPr>
      <t>增程式</t>
    </r>
    <r>
      <rPr>
        <sz val="12"/>
        <color rgb="FF000000"/>
        <rFont val="宋体"/>
        <family val="3"/>
        <charset val="134"/>
      </rPr>
      <t xml:space="preserve"> </t>
    </r>
    <r>
      <rPr>
        <sz val="10"/>
        <color rgb="FF000000"/>
        <rFont val="微软雅黑"/>
        <family val="2"/>
        <charset val="134"/>
      </rPr>
      <t>新能源</t>
    </r>
    <phoneticPr fontId="1" type="noConversion"/>
  </si>
  <si>
    <r>
      <t>至境</t>
    </r>
    <r>
      <rPr>
        <sz val="12"/>
        <color rgb="FFFF0000"/>
        <rFont val="宋体"/>
        <family val="3"/>
        <charset val="134"/>
      </rPr>
      <t xml:space="preserve">L7 </t>
    </r>
    <r>
      <rPr>
        <sz val="10"/>
        <color rgb="FFFF0000"/>
        <rFont val="微软雅黑"/>
        <family val="2"/>
        <charset val="134"/>
      </rPr>
      <t>艾维亚(20)</t>
    </r>
    <r>
      <rPr>
        <sz val="12"/>
        <color rgb="FFFF0000"/>
        <rFont val="宋体"/>
        <family val="3"/>
        <charset val="134"/>
      </rPr>
      <t xml:space="preserve"> </t>
    </r>
    <r>
      <rPr>
        <sz val="10"/>
        <color rgb="FFFF0000"/>
        <rFont val="微软雅黑"/>
        <family val="2"/>
        <charset val="134"/>
      </rPr>
      <t>增程式</t>
    </r>
    <r>
      <rPr>
        <sz val="12"/>
        <color rgb="FFFF0000"/>
        <rFont val="宋体"/>
        <family val="3"/>
        <charset val="134"/>
      </rPr>
      <t xml:space="preserve"> </t>
    </r>
    <r>
      <rPr>
        <sz val="10"/>
        <color rgb="FFFF0000"/>
        <rFont val="微软雅黑"/>
        <family val="2"/>
        <charset val="134"/>
      </rPr>
      <t>新能源</t>
    </r>
    <phoneticPr fontId="1" type="noConversion"/>
  </si>
  <si>
    <t>个人申请：厂贴_双优贷2.0_新优速贷_60期</t>
    <phoneticPr fontId="1" type="noConversion"/>
  </si>
  <si>
    <t>个人申请：厂贴_双优贷1.0_新优速贷_60期</t>
    <phoneticPr fontId="1" type="noConversion"/>
  </si>
  <si>
    <t>全新GL8陆尊 奢享版 新能源</t>
  </si>
  <si>
    <r>
      <t>至境</t>
    </r>
    <r>
      <rPr>
        <sz val="12"/>
        <color theme="1"/>
        <rFont val="宋体"/>
        <family val="3"/>
        <charset val="134"/>
      </rPr>
      <t xml:space="preserve">L7 </t>
    </r>
    <r>
      <rPr>
        <sz val="10"/>
        <color theme="1"/>
        <rFont val="微软雅黑"/>
        <family val="2"/>
        <charset val="134"/>
      </rPr>
      <t>艾维亚(20)</t>
    </r>
    <r>
      <rPr>
        <sz val="12"/>
        <color theme="1"/>
        <rFont val="宋体"/>
        <family val="3"/>
        <charset val="134"/>
      </rPr>
      <t xml:space="preserve"> </t>
    </r>
    <r>
      <rPr>
        <sz val="10"/>
        <color theme="1"/>
        <rFont val="微软雅黑"/>
        <family val="2"/>
        <charset val="134"/>
      </rPr>
      <t>增程式</t>
    </r>
    <r>
      <rPr>
        <sz val="12"/>
        <color theme="1"/>
        <rFont val="宋体"/>
        <family val="3"/>
        <charset val="134"/>
      </rPr>
      <t xml:space="preserve"> </t>
    </r>
    <r>
      <rPr>
        <sz val="10"/>
        <color theme="1"/>
        <rFont val="微软雅黑"/>
        <family val="2"/>
        <charset val="134"/>
      </rPr>
      <t>新能源</t>
    </r>
    <phoneticPr fontId="1" type="noConversion"/>
  </si>
  <si>
    <t xml:space="preserve">个人申请：厂贴_5.99贴息 新优速贷/个体工商户升级 18-60期 </t>
    <phoneticPr fontId="1" type="noConversion"/>
  </si>
  <si>
    <t>个人申请：厂贴_5.99贴息 新优速贷/个体工商户升级 12期</t>
    <phoneticPr fontId="1" type="noConversion"/>
  </si>
  <si>
    <r>
      <t>说明：
1、表格中</t>
    </r>
    <r>
      <rPr>
        <b/>
        <sz val="12"/>
        <color theme="8" tint="-0.499984740745262"/>
        <rFont val="微软雅黑"/>
        <family val="2"/>
        <charset val="134"/>
      </rPr>
      <t>蓝底</t>
    </r>
    <r>
      <rPr>
        <b/>
        <sz val="12"/>
        <color theme="0"/>
        <rFont val="微软雅黑"/>
        <family val="2"/>
        <charset val="134"/>
      </rPr>
      <t>白字</t>
    </r>
    <r>
      <rPr>
        <sz val="12"/>
        <color theme="1"/>
        <rFont val="微软雅黑"/>
        <family val="2"/>
        <charset val="134"/>
      </rPr>
      <t xml:space="preserve">的单元格，为可修改项。可直接输入或从下拉菜单中进行选择。
2、当“贷款金额下限”或“贷款金额上限数值项变为 </t>
    </r>
    <r>
      <rPr>
        <sz val="12"/>
        <color rgb="FFFF0000"/>
        <rFont val="微软雅黑"/>
        <family val="2"/>
        <charset val="134"/>
      </rPr>
      <t>红字且</t>
    </r>
    <r>
      <rPr>
        <sz val="12"/>
        <color rgb="FFFFFF00"/>
        <rFont val="微软雅黑"/>
        <family val="2"/>
        <charset val="134"/>
      </rPr>
      <t>黄色高亮</t>
    </r>
    <r>
      <rPr>
        <sz val="12"/>
        <color theme="1"/>
        <rFont val="微软雅黑"/>
        <family val="2"/>
        <charset val="134"/>
      </rPr>
      <t xml:space="preserve">时，需调整第9行“贷款金额”输入的数值
3、当某‘还款方式’的试算行多处显示 </t>
    </r>
    <r>
      <rPr>
        <sz val="12"/>
        <color theme="4" tint="-0.249977111117893"/>
        <rFont val="微软雅黑"/>
        <family val="2"/>
        <charset val="134"/>
      </rPr>
      <t>#VALUE!</t>
    </r>
    <r>
      <rPr>
        <sz val="12"/>
        <color theme="1"/>
        <rFont val="微软雅黑"/>
        <family val="2"/>
        <charset val="134"/>
      </rPr>
      <t xml:space="preserve"> 或 </t>
    </r>
    <r>
      <rPr>
        <sz val="12"/>
        <color theme="4" tint="-0.249977111117893"/>
        <rFont val="微软雅黑"/>
        <family val="2"/>
        <charset val="134"/>
      </rPr>
      <t xml:space="preserve"> *N/A</t>
    </r>
    <r>
      <rPr>
        <sz val="12"/>
        <color theme="1"/>
        <rFont val="微软雅黑"/>
        <family val="2"/>
        <charset val="134"/>
      </rPr>
      <t xml:space="preserve"> 时，或</t>
    </r>
    <r>
      <rPr>
        <b/>
        <sz val="12"/>
        <color theme="1"/>
        <rFont val="微软雅黑"/>
        <family val="2"/>
        <charset val="134"/>
      </rPr>
      <t>K列/L列</t>
    </r>
    <r>
      <rPr>
        <sz val="12"/>
        <color theme="1"/>
        <rFont val="微软雅黑"/>
        <family val="2"/>
        <charset val="134"/>
      </rPr>
      <t>显示'</t>
    </r>
    <r>
      <rPr>
        <sz val="12"/>
        <color rgb="FFFF0000"/>
        <rFont val="微软雅黑"/>
        <family val="2"/>
        <charset val="134"/>
      </rPr>
      <t>无方案</t>
    </r>
    <r>
      <rPr>
        <sz val="12"/>
        <color theme="1"/>
        <rFont val="微软雅黑"/>
        <family val="2"/>
        <charset val="134"/>
      </rPr>
      <t>'时，即表示所选车型无此“还款方式”或 对应期限 的贴息方案
4、系统录入选择贷款方案时，注意选择带有“方案名称关键字”的方案名称
5、 智慧式5050方案仅适用于双君双昂、以及威朗Pro、微蓝6车型
6、分段式6666方案仅适用于双君双昂车型</t>
    </r>
    <phoneticPr fontId="1" type="noConversion"/>
  </si>
  <si>
    <t>常规低息 (36-60期)
5050低息（12期）
双优贷2.0（60期）
双优贷1.0（60期）</t>
    <phoneticPr fontId="1" type="noConversion"/>
  </si>
  <si>
    <t>首付比例不得低于：</t>
    <phoneticPr fontId="1" type="noConversion"/>
  </si>
  <si>
    <t>注：新能源车为15%起</t>
    <phoneticPr fontId="1" type="noConversion"/>
  </si>
  <si>
    <t>注：公牌/个体户类/商用申请 首付30%起（新能源车为25%起）</t>
    <phoneticPr fontId="1" type="noConversion"/>
  </si>
  <si>
    <t>车辆首付比例不得低于：</t>
    <phoneticPr fontId="1" type="noConversion"/>
  </si>
  <si>
    <t>注：7.98%利率仅适用于别克GL8系列（含世纪）的60期方案</t>
    <phoneticPr fontId="1" type="noConversion"/>
  </si>
  <si>
    <t>个人申请：7.98新通用 新优速贷/个体工商户升级 非贴息_60期
企业申请：7.98新通用 新公牌易贷/个体工商户  非贴息_60期</t>
    <phoneticPr fontId="1" type="noConversion"/>
  </si>
  <si>
    <t>个人申请：7.98新通用 新优速贷/个体工商户升级 经销商贴息_60期
企业申请：7.98新通用 新公牌易贷/个体工商户  经销商贴息_60期</t>
    <phoneticPr fontId="1" type="noConversion"/>
  </si>
  <si>
    <t>个人申请：10.9新通用 新优速贷/个体工商户升级 经销商贴息_12-60期
企业申请：10.9新通用 新公牌易贷/个体工商户  经销商贴息_12-60期
企业商用：10.9新通用_营运租赁_经销商贴息_12-36期</t>
    <phoneticPr fontId="1" type="noConversion"/>
  </si>
  <si>
    <t>个人申请：9.9新通用 新优速贷/个体工商户升级 经销商贴息_12-60期
企业申请：9.9新通用 新公牌易贷/个体工商户  经销商贴息_12-60期
企业商用：9.9新通用_营运租赁_经销商贴息_12-36期</t>
    <phoneticPr fontId="1" type="noConversion"/>
  </si>
  <si>
    <t>个人申请：8.98新通用 新优速贷/个体工商户升级 经销商贴息_12-60期
企业申请：8.98新通用 新公牌易贷/个体工商户  经销商贴息_12-60期
企业商用：8.98新通用_营运租赁_经销商贴息_12-36期</t>
    <phoneticPr fontId="1" type="noConversion"/>
  </si>
  <si>
    <t>个人申请：10.9新通用 新优速贷/个体工商户升级 非贴息_12-60期
企业申请：10.9新通用 新公牌易贷/个体工商户  非贴息_12-60期
企业商用：10.9新通用_营运租赁_非贴息_12-36期</t>
    <phoneticPr fontId="1" type="noConversion"/>
  </si>
  <si>
    <t>个人申请：9.9新通用 新优速贷/个体工商户升级 非贴息_12-60期
企业申请：9.9新通用 新公牌易贷/个体工商户  非贴息_12-60期
企业商用：9.9新通用_营运租赁_非贴息_12-36期</t>
    <phoneticPr fontId="1" type="noConversion"/>
  </si>
  <si>
    <t>个人申请：8.98新通用 新优速贷/个体工商户升级 非贴息_12-60期
企业申请：8.98新通用 新公牌易贷/个体工商户  非贴息_12-60期
企业商用：8.98新通用_营运租赁_非贴息_12-36期</t>
    <phoneticPr fontId="1" type="noConversion"/>
  </si>
  <si>
    <r>
      <t>贷款金额</t>
    </r>
    <r>
      <rPr>
        <b/>
        <sz val="11"/>
        <color rgb="FFFF0000"/>
        <rFont val="微软雅黑"/>
        <family val="2"/>
        <charset val="134"/>
      </rPr>
      <t xml:space="preserve">*
</t>
    </r>
    <r>
      <rPr>
        <sz val="11"/>
        <color theme="1"/>
        <rFont val="微软雅黑"/>
        <family val="2"/>
        <charset val="134"/>
      </rPr>
      <t>（5万起）</t>
    </r>
    <phoneticPr fontId="1" type="noConversion"/>
  </si>
  <si>
    <r>
      <t>贷款金额</t>
    </r>
    <r>
      <rPr>
        <b/>
        <sz val="12"/>
        <color rgb="FFFF0000"/>
        <rFont val="微软雅黑"/>
        <family val="2"/>
        <charset val="134"/>
      </rPr>
      <t>*</t>
    </r>
    <r>
      <rPr>
        <b/>
        <sz val="12"/>
        <color theme="1"/>
        <rFont val="微软雅黑"/>
        <family val="2"/>
        <charset val="134"/>
      </rPr>
      <t xml:space="preserve">
</t>
    </r>
    <r>
      <rPr>
        <sz val="12"/>
        <color theme="1"/>
        <rFont val="微软雅黑"/>
        <family val="2"/>
        <charset val="134"/>
      </rPr>
      <t>（5万起）</t>
    </r>
    <phoneticPr fontId="1" type="noConversion"/>
  </si>
  <si>
    <t>至境世家</t>
    <phoneticPr fontId="1" type="noConversion"/>
  </si>
  <si>
    <r>
      <t>至境</t>
    </r>
    <r>
      <rPr>
        <sz val="10"/>
        <color theme="1"/>
        <rFont val="Arial"/>
        <family val="2"/>
      </rPr>
      <t xml:space="preserve">L7 </t>
    </r>
    <r>
      <rPr>
        <sz val="10"/>
        <color theme="1"/>
        <rFont val="微软雅黑"/>
        <family val="2"/>
        <charset val="134"/>
      </rPr>
      <t>尊享版</t>
    </r>
    <r>
      <rPr>
        <sz val="10"/>
        <color theme="1"/>
        <rFont val="Arial"/>
        <family val="2"/>
      </rPr>
      <t xml:space="preserve"> </t>
    </r>
    <r>
      <rPr>
        <sz val="10"/>
        <color theme="1"/>
        <rFont val="微软雅黑"/>
        <family val="2"/>
        <charset val="134"/>
      </rPr>
      <t>增程式</t>
    </r>
    <r>
      <rPr>
        <sz val="10"/>
        <color theme="1"/>
        <rFont val="Arial"/>
        <family val="2"/>
      </rPr>
      <t xml:space="preserve"> </t>
    </r>
    <r>
      <rPr>
        <sz val="10"/>
        <color theme="1"/>
        <rFont val="微软雅黑"/>
        <family val="2"/>
        <charset val="134"/>
      </rPr>
      <t>新能源</t>
    </r>
    <phoneticPr fontId="1" type="noConversion"/>
  </si>
  <si>
    <r>
      <t>至境</t>
    </r>
    <r>
      <rPr>
        <sz val="10"/>
        <color theme="1"/>
        <rFont val="Arial"/>
        <family val="2"/>
      </rPr>
      <t xml:space="preserve">L7 </t>
    </r>
    <r>
      <rPr>
        <sz val="10"/>
        <color theme="1"/>
        <rFont val="微软雅黑"/>
        <family val="2"/>
        <charset val="134"/>
      </rPr>
      <t>奢享版</t>
    </r>
    <r>
      <rPr>
        <sz val="10"/>
        <color theme="1"/>
        <rFont val="Arial"/>
        <family val="2"/>
      </rPr>
      <t xml:space="preserve"> </t>
    </r>
    <r>
      <rPr>
        <sz val="10"/>
        <color theme="1"/>
        <rFont val="微软雅黑"/>
        <family val="2"/>
        <charset val="134"/>
      </rPr>
      <t>增程式</t>
    </r>
    <r>
      <rPr>
        <sz val="10"/>
        <color theme="1"/>
        <rFont val="Arial"/>
        <family val="2"/>
      </rPr>
      <t xml:space="preserve"> </t>
    </r>
    <r>
      <rPr>
        <sz val="10"/>
        <color theme="1"/>
        <rFont val="微软雅黑"/>
        <family val="2"/>
        <charset val="134"/>
      </rPr>
      <t>新能源</t>
    </r>
    <phoneticPr fontId="1" type="noConversion"/>
  </si>
  <si>
    <r>
      <t>至境</t>
    </r>
    <r>
      <rPr>
        <sz val="10"/>
        <color theme="1"/>
        <rFont val="Arial"/>
        <family val="2"/>
      </rPr>
      <t xml:space="preserve">L7 </t>
    </r>
    <r>
      <rPr>
        <sz val="10"/>
        <color theme="1"/>
        <rFont val="微软雅黑"/>
        <family val="2"/>
        <charset val="134"/>
      </rPr>
      <t>尊享逍遥智行版</t>
    </r>
    <r>
      <rPr>
        <sz val="10"/>
        <color theme="1"/>
        <rFont val="Arial"/>
        <family val="2"/>
      </rPr>
      <t xml:space="preserve"> </t>
    </r>
    <r>
      <rPr>
        <sz val="10"/>
        <color theme="1"/>
        <rFont val="微软雅黑"/>
        <family val="2"/>
        <charset val="134"/>
      </rPr>
      <t>增程式</t>
    </r>
    <r>
      <rPr>
        <sz val="10"/>
        <color theme="1"/>
        <rFont val="Arial"/>
        <family val="2"/>
      </rPr>
      <t xml:space="preserve"> </t>
    </r>
    <r>
      <rPr>
        <sz val="10"/>
        <color theme="1"/>
        <rFont val="微软雅黑"/>
        <family val="2"/>
        <charset val="134"/>
      </rPr>
      <t>新能源</t>
    </r>
    <phoneticPr fontId="1" type="noConversion"/>
  </si>
  <si>
    <r>
      <t>至境</t>
    </r>
    <r>
      <rPr>
        <sz val="10"/>
        <color theme="1"/>
        <rFont val="Arial"/>
        <family val="2"/>
      </rPr>
      <t xml:space="preserve">L7 </t>
    </r>
    <r>
      <rPr>
        <sz val="10"/>
        <color theme="1"/>
        <rFont val="微软雅黑"/>
        <family val="2"/>
        <charset val="134"/>
      </rPr>
      <t>奢享逍遥智行版</t>
    </r>
    <r>
      <rPr>
        <sz val="10"/>
        <color theme="1"/>
        <rFont val="Arial"/>
        <family val="2"/>
      </rPr>
      <t xml:space="preserve"> </t>
    </r>
    <r>
      <rPr>
        <sz val="10"/>
        <color theme="1"/>
        <rFont val="微软雅黑"/>
        <family val="2"/>
        <charset val="134"/>
      </rPr>
      <t>增程式</t>
    </r>
    <r>
      <rPr>
        <sz val="10"/>
        <color theme="1"/>
        <rFont val="Arial"/>
        <family val="2"/>
      </rPr>
      <t xml:space="preserve"> </t>
    </r>
    <r>
      <rPr>
        <sz val="10"/>
        <color theme="1"/>
        <rFont val="微软雅黑"/>
        <family val="2"/>
        <charset val="134"/>
      </rPr>
      <t>新能源</t>
    </r>
    <phoneticPr fontId="1" type="noConversion"/>
  </si>
  <si>
    <r>
      <t>至境</t>
    </r>
    <r>
      <rPr>
        <sz val="10"/>
        <color theme="1"/>
        <rFont val="Arial"/>
        <family val="2"/>
      </rPr>
      <t xml:space="preserve">L7 </t>
    </r>
    <r>
      <rPr>
        <sz val="10"/>
        <color theme="1"/>
        <rFont val="微软雅黑"/>
        <family val="2"/>
        <charset val="134"/>
      </rPr>
      <t>艾维亚</t>
    </r>
    <r>
      <rPr>
        <sz val="10"/>
        <color theme="1"/>
        <rFont val="Arial"/>
        <family val="2"/>
      </rPr>
      <t xml:space="preserve"> </t>
    </r>
    <r>
      <rPr>
        <sz val="10"/>
        <color theme="1"/>
        <rFont val="微软雅黑"/>
        <family val="2"/>
        <charset val="134"/>
      </rPr>
      <t>增程式</t>
    </r>
    <r>
      <rPr>
        <sz val="10"/>
        <color theme="1"/>
        <rFont val="Arial"/>
        <family val="2"/>
      </rPr>
      <t xml:space="preserve"> </t>
    </r>
    <r>
      <rPr>
        <sz val="10"/>
        <color theme="1"/>
        <rFont val="微软雅黑"/>
        <family val="2"/>
        <charset val="134"/>
      </rPr>
      <t>新能源</t>
    </r>
    <phoneticPr fontId="1" type="noConversion"/>
  </si>
  <si>
    <t>君越</t>
  </si>
  <si>
    <t>昂科威S</t>
  </si>
  <si>
    <t>昂科威Plus</t>
  </si>
  <si>
    <t>经销商贴息
（选填，0元起）</t>
    <phoneticPr fontId="1" type="noConversion"/>
  </si>
  <si>
    <t>贷款方案1</t>
    <phoneticPr fontId="1" type="noConversion"/>
  </si>
  <si>
    <t xml:space="preserve">个人申请：厂贴_5.99贴息 新优速贷/个体工商户升级 24期 </t>
    <phoneticPr fontId="1" type="noConversion"/>
  </si>
  <si>
    <t xml:space="preserve">企业申请：厂贴_5.99贴息 新公牌易贷/个体工商户  24期 
企业商用：厂贴_5.99贴息 营运租赁  24期 </t>
    <phoneticPr fontId="1" type="noConversion"/>
  </si>
  <si>
    <t>至境世家尊享版 新能源</t>
  </si>
  <si>
    <t>至境世家尊享版 新能源</t>
    <phoneticPr fontId="1" type="noConversion"/>
  </si>
  <si>
    <t>至境世家奢享版 新能源</t>
    <phoneticPr fontId="1" type="noConversion"/>
  </si>
  <si>
    <t>第二步：按需填写附加品贷款参数</t>
    <phoneticPr fontId="1" type="noConversion"/>
  </si>
  <si>
    <t>厂贴_双优贷 世家</t>
    <phoneticPr fontId="1" type="noConversion"/>
  </si>
  <si>
    <t>厂贴_常规贴息（公户）世家</t>
    <phoneticPr fontId="1" type="noConversion"/>
  </si>
  <si>
    <t>厂贴_常规贴息（个人）世家</t>
    <phoneticPr fontId="1" type="noConversion"/>
  </si>
  <si>
    <t xml:space="preserve">企业申请：厂贴_5.99贴息 新公牌易贷/个体工商户  36-60期 
企业商用：厂贴_5.99贴息 营运租赁  36期 </t>
    <phoneticPr fontId="1" type="noConversion"/>
  </si>
  <si>
    <r>
      <t xml:space="preserve">贷款金额合计
</t>
    </r>
    <r>
      <rPr>
        <sz val="10"/>
        <color theme="1"/>
        <rFont val="微软雅黑"/>
        <family val="2"/>
        <charset val="134"/>
      </rPr>
      <t>（36-60期方案适用）</t>
    </r>
    <phoneticPr fontId="1" type="noConversion"/>
  </si>
  <si>
    <t>车辆贷款金额
上限</t>
    <phoneticPr fontId="1" type="noConversion"/>
  </si>
  <si>
    <t>个人申请：厂贴_5.99贴息 新优速贷/个体工商户升级 24期 固定2.99%</t>
    <phoneticPr fontId="1" type="noConversion"/>
  </si>
  <si>
    <t>个人申请：厂贴_5.99贴息 新优速贷/个体工商户升级 18期 固定2.99%</t>
    <phoneticPr fontId="1" type="noConversion"/>
  </si>
  <si>
    <t>企业申请：厂贴_5.99贴息 新公牌易贷/个体工商户  24期  固定2.99%
企业商用：厂贴_5.99贴息 营运租赁   24期  固定2.99%</t>
    <phoneticPr fontId="1" type="noConversion"/>
  </si>
  <si>
    <t>企业申请：厂贴_5.99贴息 新公牌易贷/个体工商户  18期  固定2.99%
企业商用：厂贴_5.99贴息 营运租赁  18期  固定2.99%</t>
    <phoneticPr fontId="1" type="noConversion"/>
  </si>
  <si>
    <t>贷款金额
下限</t>
    <phoneticPr fontId="1" type="noConversion"/>
  </si>
  <si>
    <r>
      <t>说明：
1、表格中</t>
    </r>
    <r>
      <rPr>
        <b/>
        <sz val="12"/>
        <color theme="8" tint="-0.499984740745262"/>
        <rFont val="微软雅黑"/>
        <family val="2"/>
        <charset val="134"/>
      </rPr>
      <t>蓝底</t>
    </r>
    <r>
      <rPr>
        <b/>
        <sz val="12"/>
        <color theme="0"/>
        <rFont val="微软雅黑"/>
        <family val="2"/>
        <charset val="134"/>
      </rPr>
      <t>白字</t>
    </r>
    <r>
      <rPr>
        <sz val="12"/>
        <color theme="1"/>
        <rFont val="微软雅黑"/>
        <family val="2"/>
        <charset val="134"/>
      </rPr>
      <t xml:space="preserve">的单元格，为可修改项。可直接输入或从下拉菜单中进行选择。
2、当“车辆贷款金额下限”数值项变为 </t>
    </r>
    <r>
      <rPr>
        <sz val="12"/>
        <color rgb="FFFF0000"/>
        <rFont val="微软雅黑"/>
        <family val="2"/>
        <charset val="134"/>
      </rPr>
      <t>红字且</t>
    </r>
    <r>
      <rPr>
        <sz val="12"/>
        <color rgb="FFFFFF00"/>
        <rFont val="微软雅黑"/>
        <family val="2"/>
        <charset val="134"/>
      </rPr>
      <t>黄色高亮</t>
    </r>
    <r>
      <rPr>
        <sz val="12"/>
        <color theme="1"/>
        <rFont val="微软雅黑"/>
        <family val="2"/>
        <charset val="134"/>
      </rPr>
      <t xml:space="preserve">时，需调整第9行“贷款金额”输入的数值
3、当某‘还款方式’的试算行多处显示 </t>
    </r>
    <r>
      <rPr>
        <sz val="12"/>
        <color theme="4" tint="-0.249977111117893"/>
        <rFont val="微软雅黑"/>
        <family val="2"/>
        <charset val="134"/>
      </rPr>
      <t>#VALUE!</t>
    </r>
    <r>
      <rPr>
        <sz val="12"/>
        <color theme="1"/>
        <rFont val="微软雅黑"/>
        <family val="2"/>
        <charset val="134"/>
      </rPr>
      <t xml:space="preserve"> 或 </t>
    </r>
    <r>
      <rPr>
        <sz val="12"/>
        <color theme="4" tint="-0.249977111117893"/>
        <rFont val="微软雅黑"/>
        <family val="2"/>
        <charset val="134"/>
      </rPr>
      <t xml:space="preserve"> *N/A</t>
    </r>
    <r>
      <rPr>
        <sz val="12"/>
        <color theme="1"/>
        <rFont val="微软雅黑"/>
        <family val="2"/>
        <charset val="134"/>
      </rPr>
      <t xml:space="preserve"> 时，或</t>
    </r>
    <r>
      <rPr>
        <b/>
        <sz val="12"/>
        <color theme="1"/>
        <rFont val="微软雅黑"/>
        <family val="2"/>
        <charset val="134"/>
      </rPr>
      <t>K列/L列</t>
    </r>
    <r>
      <rPr>
        <sz val="12"/>
        <color theme="1"/>
        <rFont val="微软雅黑"/>
        <family val="2"/>
        <charset val="134"/>
      </rPr>
      <t>显示'</t>
    </r>
    <r>
      <rPr>
        <sz val="12"/>
        <color rgb="FFFF0000"/>
        <rFont val="微软雅黑"/>
        <family val="2"/>
        <charset val="134"/>
      </rPr>
      <t>无方案</t>
    </r>
    <r>
      <rPr>
        <sz val="12"/>
        <color theme="1"/>
        <rFont val="微软雅黑"/>
        <family val="2"/>
        <charset val="134"/>
      </rPr>
      <t>'时，即表示所选车型无此“还款方式”或 对应期限 的贴息方案（注：</t>
    </r>
    <r>
      <rPr>
        <sz val="12"/>
        <color rgb="FFFF0000"/>
        <rFont val="微软雅黑"/>
        <family val="2"/>
        <charset val="134"/>
      </rPr>
      <t>陆上公务舱'智享DG-YZ版'为企业客户专享车型，仅可申请公户方案</t>
    </r>
    <r>
      <rPr>
        <sz val="12"/>
        <color theme="1"/>
        <rFont val="微软雅黑"/>
        <family val="2"/>
        <charset val="134"/>
      </rPr>
      <t>）
4、系统录入选择贷款方案时，注意选择带有“方案名称关键字”的方案名称</t>
    </r>
    <phoneticPr fontId="1" type="noConversion"/>
  </si>
  <si>
    <r>
      <t>说明：
1、表格中</t>
    </r>
    <r>
      <rPr>
        <b/>
        <sz val="12"/>
        <color theme="8" tint="-0.499984740745262"/>
        <rFont val="微软雅黑"/>
        <family val="2"/>
        <charset val="134"/>
      </rPr>
      <t>蓝底</t>
    </r>
    <r>
      <rPr>
        <b/>
        <sz val="12"/>
        <color theme="0"/>
        <rFont val="微软雅黑"/>
        <family val="2"/>
        <charset val="134"/>
      </rPr>
      <t>白字</t>
    </r>
    <r>
      <rPr>
        <sz val="12"/>
        <color theme="1"/>
        <rFont val="微软雅黑"/>
        <family val="2"/>
        <charset val="134"/>
      </rPr>
      <t xml:space="preserve">的单元格，为可修改项。可直接输入或从下拉菜单中进行选择。
2、当“贷款金额下限”或“贷款金额上限数值项变为 </t>
    </r>
    <r>
      <rPr>
        <sz val="12"/>
        <color rgb="FFFF0000"/>
        <rFont val="微软雅黑"/>
        <family val="2"/>
        <charset val="134"/>
      </rPr>
      <t>红字且</t>
    </r>
    <r>
      <rPr>
        <sz val="12"/>
        <color rgb="FFFFFF00"/>
        <rFont val="微软雅黑"/>
        <family val="2"/>
        <charset val="134"/>
      </rPr>
      <t>黄色高亮</t>
    </r>
    <r>
      <rPr>
        <sz val="12"/>
        <color theme="1"/>
        <rFont val="微软雅黑"/>
        <family val="2"/>
        <charset val="134"/>
      </rPr>
      <t>时，需调整第9行“贷款金额”输入的数值
3、系统录入选择贷款方案时，注意选择带有“方案名称关键字”的方案名称
4、双优贷2.0及双优贷1.0方案仅可附加</t>
    </r>
    <r>
      <rPr>
        <b/>
        <sz val="12"/>
        <color theme="1"/>
        <rFont val="微软雅黑"/>
        <family val="2"/>
        <charset val="134"/>
      </rPr>
      <t>购置税及保险费</t>
    </r>
    <r>
      <rPr>
        <sz val="12"/>
        <color theme="1"/>
        <rFont val="微软雅黑"/>
        <family val="2"/>
        <charset val="134"/>
      </rPr>
      <t xml:space="preserve">
5、双优贷1.0方案试算结果请查看本试算页第28行</t>
    </r>
    <phoneticPr fontId="1" type="noConversion"/>
  </si>
  <si>
    <t xml:space="preserve">企业申请：厂贴_5.99贴息 新公牌易贷/个体工商户  18期 
企业商用：厂贴_5.99贴息 营运租赁  18期 </t>
    <phoneticPr fontId="1" type="noConversion"/>
  </si>
  <si>
    <t xml:space="preserve">企业申请：厂贴_5.99贴息 新公牌易贷  18期 
企业商用：厂贴_5.99贴息 营运租赁  18期 </t>
    <phoneticPr fontId="1" type="noConversion"/>
  </si>
  <si>
    <t>贷款金额
上限</t>
    <phoneticPr fontId="1" type="noConversion"/>
  </si>
  <si>
    <r>
      <t>说明：
1、表格中</t>
    </r>
    <r>
      <rPr>
        <b/>
        <sz val="12"/>
        <color theme="8" tint="-0.499984740745262"/>
        <rFont val="微软雅黑"/>
        <family val="2"/>
        <charset val="134"/>
      </rPr>
      <t>蓝底</t>
    </r>
    <r>
      <rPr>
        <b/>
        <sz val="12"/>
        <color theme="0"/>
        <rFont val="微软雅黑"/>
        <family val="2"/>
        <charset val="134"/>
      </rPr>
      <t>白字</t>
    </r>
    <r>
      <rPr>
        <sz val="12"/>
        <color theme="1"/>
        <rFont val="微软雅黑"/>
        <family val="2"/>
        <charset val="134"/>
      </rPr>
      <t xml:space="preserve">的单元格，为可修改项。可直接输入或从下拉菜单中进行选择。
2、当“贷款金额下限”或“贷款金额上限”数值项变为 </t>
    </r>
    <r>
      <rPr>
        <sz val="12"/>
        <color rgb="FFFF0000"/>
        <rFont val="微软雅黑"/>
        <family val="2"/>
        <charset val="134"/>
      </rPr>
      <t>红字且</t>
    </r>
    <r>
      <rPr>
        <sz val="12"/>
        <color rgb="FFFFFF00"/>
        <rFont val="微软雅黑"/>
        <family val="2"/>
        <charset val="134"/>
      </rPr>
      <t>黄色高亮</t>
    </r>
    <r>
      <rPr>
        <sz val="12"/>
        <color theme="1"/>
        <rFont val="微软雅黑"/>
        <family val="2"/>
        <charset val="134"/>
      </rPr>
      <t>时，需调整第9行“贷款金额”输入的数值
3、当“客户试算年化利率”数值项变为 红字且带删除线，需调整第9行“贷款金额”输入的数值
4、系统录入选择贷款方案时，注意选择带有“方案名称关键字”的方案名称
5、24期/18期 2.99%起方案的试算结果请查看本试算页第28、29行</t>
    </r>
    <phoneticPr fontId="1" type="noConversion"/>
  </si>
  <si>
    <r>
      <t>说明：
1、表格中</t>
    </r>
    <r>
      <rPr>
        <b/>
        <sz val="12"/>
        <color theme="8" tint="-0.499984740745262"/>
        <rFont val="微软雅黑"/>
        <family val="2"/>
        <charset val="134"/>
      </rPr>
      <t>蓝底</t>
    </r>
    <r>
      <rPr>
        <b/>
        <sz val="12"/>
        <color theme="0"/>
        <rFont val="微软雅黑"/>
        <family val="2"/>
        <charset val="134"/>
      </rPr>
      <t>白字</t>
    </r>
    <r>
      <rPr>
        <sz val="12"/>
        <color theme="1"/>
        <rFont val="微软雅黑"/>
        <family val="2"/>
        <charset val="134"/>
      </rPr>
      <t xml:space="preserve">的单元格，为可修改项。可直接输入或从下拉菜单中进行选择。
2、当“车辆贷款金额下限”或“车辆贷款金额上限”数值项变为 </t>
    </r>
    <r>
      <rPr>
        <sz val="12"/>
        <color rgb="FFFF0000"/>
        <rFont val="微软雅黑"/>
        <family val="2"/>
        <charset val="134"/>
      </rPr>
      <t>红字且</t>
    </r>
    <r>
      <rPr>
        <sz val="12"/>
        <color rgb="FFFFFF00"/>
        <rFont val="微软雅黑"/>
        <family val="2"/>
        <charset val="134"/>
      </rPr>
      <t>黄色高亮</t>
    </r>
    <r>
      <rPr>
        <sz val="12"/>
        <color theme="1"/>
        <rFont val="微软雅黑"/>
        <family val="2"/>
        <charset val="134"/>
      </rPr>
      <t>时，需调整第7行“车辆贷款金额”输入的数值
3、当“客户试算年化利率”数值项变为 红字且带删除线，需调整第7行“车辆贷款金额”及第4行“附加品贷款金额”输入的数值
4、系统录入选择贷款方案时，注意选择带有“方案名称关键字”的方案名称
5、24期/18期2.99%起方案的试算结果请查看本试算页第27、28行</t>
    </r>
    <phoneticPr fontId="1" type="noConversion"/>
  </si>
  <si>
    <r>
      <t>年化利率</t>
    </r>
    <r>
      <rPr>
        <b/>
        <sz val="18"/>
        <color rgb="FFFF0000"/>
        <rFont val="微软雅黑"/>
        <family val="2"/>
        <charset val="134"/>
      </rPr>
      <t>*</t>
    </r>
    <r>
      <rPr>
        <b/>
        <sz val="11"/>
        <color theme="1"/>
        <rFont val="微软雅黑"/>
        <family val="2"/>
        <charset val="134"/>
      </rPr>
      <t xml:space="preserve">
(点选切换）</t>
    </r>
    <phoneticPr fontId="1" type="noConversion"/>
  </si>
  <si>
    <t>7.98%(GL8系列60期方案适用）
8.98%</t>
    <phoneticPr fontId="1" type="noConversion"/>
  </si>
  <si>
    <r>
      <rPr>
        <b/>
        <sz val="18"/>
        <color rgb="FFFFFF00"/>
        <rFont val="幼圆"/>
        <family val="3"/>
        <charset val="134"/>
      </rPr>
      <t>企业自用</t>
    </r>
    <r>
      <rPr>
        <b/>
        <sz val="11"/>
        <color rgb="FFFFFF00"/>
        <rFont val="微软雅黑"/>
        <family val="2"/>
        <charset val="134"/>
      </rPr>
      <t>（公司申请，上公司牌照）</t>
    </r>
    <r>
      <rPr>
        <b/>
        <sz val="11"/>
        <color theme="0"/>
        <rFont val="等线"/>
        <family val="3"/>
        <charset val="134"/>
      </rPr>
      <t>-</t>
    </r>
    <r>
      <rPr>
        <b/>
        <sz val="11"/>
        <color theme="0"/>
        <rFont val="微软雅黑"/>
        <family val="2"/>
        <charset val="134"/>
      </rPr>
      <t>新公牌易贷5050 产品准入政策同新公牌易贷50万以内方案</t>
    </r>
    <phoneticPr fontId="33" type="noConversion"/>
  </si>
  <si>
    <t>福祉版</t>
    <phoneticPr fontId="1" type="noConversion"/>
  </si>
  <si>
    <r>
      <t xml:space="preserve">先享版/智享版/福祉版/智享DG-YZ版
</t>
    </r>
    <r>
      <rPr>
        <sz val="14"/>
        <color theme="3" tint="0.39997558519241921"/>
        <rFont val="微软雅黑"/>
        <family val="2"/>
        <charset val="134"/>
      </rPr>
      <t>注：智享DG-YZ版仅可申请公户方案</t>
    </r>
    <phoneticPr fontId="1" type="noConversion"/>
  </si>
  <si>
    <t>至境世家 纯电奢享版</t>
  </si>
  <si>
    <t>至境世家 纯电奢享版</t>
    <phoneticPr fontId="1" type="noConversion"/>
  </si>
  <si>
    <t>GL8陆尊燃油版</t>
  </si>
  <si>
    <t xml:space="preserve">GL8陆尊燃油版 尊享版 </t>
  </si>
  <si>
    <r>
      <t xml:space="preserve">常规低息 (18-60期）
双优贷2.0（60期）
双优贷1.0（60期）
</t>
    </r>
    <r>
      <rPr>
        <i/>
        <sz val="12"/>
        <color theme="5"/>
        <rFont val="微软雅黑"/>
        <family val="2"/>
        <charset val="134"/>
      </rPr>
      <t>*注：支持经销商贴息；常规低息方案客户利率不得低于2.99%</t>
    </r>
    <phoneticPr fontId="1" type="noConversion"/>
  </si>
  <si>
    <t>至境世家 纯电奢享版哑光灰</t>
  </si>
  <si>
    <t>至境世家 纯电奢享版哑光灰</t>
    <phoneticPr fontId="1" type="noConversion"/>
  </si>
  <si>
    <t>申请截止至：2026/4/30
放款截止至：2026/5/31</t>
    <phoneticPr fontId="1" type="noConversion"/>
  </si>
  <si>
    <t>尊享版/奢享版
纯电奢享版/纯电奢享版哑光灰</t>
    <phoneticPr fontId="1"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</si>
</sst>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2">
    <numFmt numFmtId="8" formatCode="&quot;¥&quot;#,##0.00;[Red]&quot;¥&quot;\-#,##0.00"/>
    <numFmt numFmtId="176" formatCode="#,##0_ "/>
    <numFmt numFmtId="177" formatCode="#,##0_);[Red]\(#,##0\)"/>
    <numFmt numFmtId="178" formatCode="_(* #,##0.00_);_(* \(#,##0.00\);_(* &quot;-&quot;??_);_(@_)"/>
    <numFmt numFmtId="179" formatCode="_(* #,##0_);_(* \(#,##0\);_(* &quot;-&quot;??_);_(@_)"/>
    <numFmt numFmtId="180" formatCode="#,##0_ ;[Red]\-#,##0\ "/>
    <numFmt numFmtId="181" formatCode="0.00_);[Red]\(0.00\)"/>
    <numFmt numFmtId="182" formatCode="0.00_ ;[Red]\-0.00\ "/>
    <numFmt numFmtId="183" formatCode="0_ ;[Red]\-0\ "/>
    <numFmt numFmtId="184" formatCode="#,##0.00_);[Red]\(#,##0.00\)"/>
    <numFmt numFmtId="185" formatCode="0.00000"/>
    <numFmt numFmtId="186" formatCode="#,##0.00_);\(#,##0.00\)"/>
    <numFmt numFmtId="187" formatCode="0.00_);\(0.00\)"/>
    <numFmt numFmtId="188" formatCode="0_);\(0\)"/>
    <numFmt numFmtId="189" formatCode="0.000000%"/>
    <numFmt numFmtId="190" formatCode="#,##0_);\(#,##0\)"/>
    <numFmt numFmtId="191" formatCode="0.0000000"/>
    <numFmt numFmtId="192" formatCode="0.00000000"/>
    <numFmt numFmtId="193" formatCode="0.00000000000"/>
    <numFmt numFmtId="194" formatCode="0.0000000000000"/>
    <numFmt numFmtId="195" formatCode="0.0000000000000000"/>
    <numFmt numFmtId="196" formatCode="#,##0.00_ "/>
  </numFmts>
  <fonts count="154">
    <font>
      <sz val="11"/>
      <color theme="1"/>
      <name val="等线"/>
      <family val="2"/>
      <scheme val="minor"/>
    </font>
    <font>
      <sz val="9"/>
      <name val="等线"/>
      <family val="3"/>
      <charset val="134"/>
      <scheme val="minor"/>
    </font>
    <font>
      <sz val="11"/>
      <color rgb="FFC00000"/>
      <name val="微软雅黑"/>
      <family val="2"/>
      <charset val="134"/>
    </font>
    <font>
      <sz val="11"/>
      <color rgb="FFC00000"/>
      <name val="等线"/>
      <family val="2"/>
      <scheme val="minor"/>
    </font>
    <font>
      <sz val="18"/>
      <color rgb="FFFF0000"/>
      <name val="微软雅黑"/>
      <family val="2"/>
      <charset val="134"/>
    </font>
    <font>
      <b/>
      <sz val="16"/>
      <color theme="1"/>
      <name val="微软雅黑"/>
      <family val="2"/>
      <charset val="134"/>
    </font>
    <font>
      <b/>
      <sz val="18"/>
      <name val="微软雅黑"/>
      <family val="2"/>
      <charset val="134"/>
    </font>
    <font>
      <sz val="18"/>
      <color theme="1"/>
      <name val="微软雅黑"/>
      <family val="2"/>
      <charset val="134"/>
    </font>
    <font>
      <b/>
      <sz val="14"/>
      <color rgb="FFFF0000"/>
      <name val="微软雅黑"/>
      <family val="2"/>
      <charset val="134"/>
    </font>
    <font>
      <u/>
      <sz val="11"/>
      <color theme="10"/>
      <name val="等线"/>
      <family val="2"/>
      <scheme val="minor"/>
    </font>
    <font>
      <b/>
      <sz val="14"/>
      <color theme="1"/>
      <name val="微软雅黑"/>
      <family val="2"/>
      <charset val="134"/>
    </font>
    <font>
      <sz val="14"/>
      <color theme="1"/>
      <name val="微软雅黑"/>
      <family val="2"/>
      <charset val="134"/>
    </font>
    <font>
      <b/>
      <sz val="12"/>
      <color theme="1"/>
      <name val="微软雅黑"/>
      <family val="2"/>
      <charset val="134"/>
    </font>
    <font>
      <b/>
      <sz val="10"/>
      <name val="微软雅黑"/>
      <family val="2"/>
      <charset val="134"/>
    </font>
    <font>
      <sz val="14"/>
      <color theme="1"/>
      <name val="Arial"/>
      <family val="2"/>
      <charset val="134"/>
    </font>
    <font>
      <b/>
      <sz val="12"/>
      <color rgb="FFFF0000"/>
      <name val="微软雅黑"/>
      <family val="2"/>
      <charset val="134"/>
    </font>
    <font>
      <sz val="12"/>
      <color theme="1"/>
      <name val="微软雅黑"/>
      <family val="2"/>
      <charset val="134"/>
    </font>
    <font>
      <b/>
      <u/>
      <sz val="22"/>
      <color theme="10"/>
      <name val="微软雅黑"/>
      <family val="2"/>
      <charset val="134"/>
    </font>
    <font>
      <sz val="14"/>
      <name val="微软雅黑"/>
      <family val="2"/>
      <charset val="134"/>
    </font>
    <font>
      <b/>
      <sz val="11"/>
      <color theme="1"/>
      <name val="等线"/>
      <family val="3"/>
      <charset val="134"/>
      <scheme val="minor"/>
    </font>
    <font>
      <sz val="11"/>
      <color theme="1"/>
      <name val="等线"/>
      <family val="3"/>
      <charset val="134"/>
      <scheme val="minor"/>
    </font>
    <font>
      <b/>
      <sz val="12"/>
      <name val="微软雅黑"/>
      <family val="2"/>
      <charset val="134"/>
    </font>
    <font>
      <b/>
      <sz val="11"/>
      <color theme="1"/>
      <name val="微软雅黑"/>
      <family val="2"/>
      <charset val="134"/>
    </font>
    <font>
      <sz val="14"/>
      <color rgb="FF000000"/>
      <name val="微软雅黑"/>
      <family val="2"/>
      <charset val="134"/>
    </font>
    <font>
      <sz val="11"/>
      <color rgb="FF000000"/>
      <name val="微软雅黑"/>
      <family val="2"/>
      <charset val="134"/>
    </font>
    <font>
      <sz val="11"/>
      <color theme="1"/>
      <name val="等线"/>
      <family val="2"/>
      <scheme val="minor"/>
    </font>
    <font>
      <sz val="11"/>
      <color theme="1"/>
      <name val="微软雅黑"/>
      <family val="2"/>
      <charset val="134"/>
    </font>
    <font>
      <sz val="11"/>
      <color rgb="FFFF0000"/>
      <name val="微软雅黑"/>
      <family val="2"/>
      <charset val="134"/>
    </font>
    <font>
      <b/>
      <sz val="11"/>
      <color rgb="FF3A07B9"/>
      <name val="微软雅黑"/>
      <family val="2"/>
      <charset val="134"/>
    </font>
    <font>
      <b/>
      <sz val="11"/>
      <color rgb="FFFF0000"/>
      <name val="微软雅黑"/>
      <family val="2"/>
      <charset val="134"/>
    </font>
    <font>
      <b/>
      <sz val="12"/>
      <color theme="0"/>
      <name val="微软雅黑"/>
      <family val="2"/>
      <charset val="134"/>
    </font>
    <font>
      <sz val="11"/>
      <color theme="9" tint="0.79998168889431442"/>
      <name val="微软雅黑"/>
      <family val="2"/>
      <charset val="134"/>
    </font>
    <font>
      <b/>
      <sz val="10"/>
      <color rgb="FF0033CC"/>
      <name val="微软雅黑"/>
      <family val="2"/>
      <charset val="134"/>
    </font>
    <font>
      <sz val="9"/>
      <name val="等线"/>
      <family val="2"/>
      <charset val="134"/>
      <scheme val="minor"/>
    </font>
    <font>
      <b/>
      <sz val="18"/>
      <color theme="0"/>
      <name val="隶书"/>
      <family val="3"/>
      <charset val="134"/>
    </font>
    <font>
      <b/>
      <sz val="14"/>
      <color theme="0"/>
      <name val="微软雅黑"/>
      <family val="2"/>
      <charset val="134"/>
    </font>
    <font>
      <sz val="10"/>
      <color rgb="FFFF0000"/>
      <name val="微软雅黑"/>
      <family val="2"/>
      <charset val="134"/>
    </font>
    <font>
      <sz val="10"/>
      <color theme="1"/>
      <name val="微软雅黑"/>
      <family val="2"/>
      <charset val="134"/>
    </font>
    <font>
      <sz val="10"/>
      <color theme="1" tint="0.499984740745262"/>
      <name val="微软雅黑"/>
      <family val="2"/>
      <charset val="134"/>
    </font>
    <font>
      <sz val="10"/>
      <name val="微软雅黑"/>
      <family val="2"/>
      <charset val="134"/>
    </font>
    <font>
      <b/>
      <sz val="10"/>
      <color indexed="8"/>
      <name val="微软雅黑"/>
      <family val="2"/>
      <charset val="134"/>
    </font>
    <font>
      <b/>
      <sz val="10"/>
      <color theme="1"/>
      <name val="微软雅黑"/>
      <family val="2"/>
      <charset val="134"/>
    </font>
    <font>
      <sz val="9"/>
      <color theme="9" tint="0.79998168889431442"/>
      <name val="微软雅黑"/>
      <family val="2"/>
      <charset val="134"/>
    </font>
    <font>
      <sz val="6"/>
      <color theme="9" tint="0.79998168889431442"/>
      <name val="微软雅黑"/>
      <family val="2"/>
      <charset val="134"/>
    </font>
    <font>
      <b/>
      <sz val="16"/>
      <color theme="0"/>
      <name val="微软雅黑"/>
      <family val="2"/>
      <charset val="134"/>
    </font>
    <font>
      <sz val="9"/>
      <name val="微软雅黑"/>
      <family val="2"/>
      <charset val="134"/>
    </font>
    <font>
      <b/>
      <sz val="11"/>
      <name val="微软雅黑"/>
      <family val="2"/>
      <charset val="134"/>
    </font>
    <font>
      <sz val="11"/>
      <name val="微软雅黑"/>
      <family val="2"/>
      <charset val="134"/>
    </font>
    <font>
      <sz val="10"/>
      <color theme="8" tint="-0.249977111117893"/>
      <name val="微软雅黑"/>
      <family val="2"/>
      <charset val="134"/>
    </font>
    <font>
      <sz val="9"/>
      <name val="Microsoft YaHei UI"/>
      <family val="2"/>
      <charset val="134"/>
    </font>
    <font>
      <b/>
      <i/>
      <sz val="12"/>
      <color theme="0"/>
      <name val="微软雅黑"/>
      <family val="2"/>
      <charset val="134"/>
    </font>
    <font>
      <i/>
      <sz val="9"/>
      <color theme="1"/>
      <name val="微软雅黑"/>
      <family val="2"/>
      <charset val="134"/>
    </font>
    <font>
      <b/>
      <i/>
      <sz val="10"/>
      <color theme="1"/>
      <name val="微软雅黑"/>
      <family val="2"/>
      <charset val="134"/>
    </font>
    <font>
      <sz val="9"/>
      <color theme="1"/>
      <name val="微软雅黑"/>
      <family val="2"/>
      <charset val="134"/>
    </font>
    <font>
      <b/>
      <i/>
      <sz val="10"/>
      <name val="微软雅黑"/>
      <family val="2"/>
      <charset val="134"/>
    </font>
    <font>
      <sz val="10"/>
      <color rgb="FF3A07B9"/>
      <name val="微软雅黑"/>
      <family val="2"/>
      <charset val="134"/>
    </font>
    <font>
      <sz val="10"/>
      <color theme="9" tint="0.79998168889431442"/>
      <name val="微软雅黑"/>
      <family val="2"/>
      <charset val="134"/>
    </font>
    <font>
      <b/>
      <i/>
      <sz val="11"/>
      <color theme="1"/>
      <name val="微软雅黑"/>
      <family val="2"/>
      <charset val="134"/>
    </font>
    <font>
      <b/>
      <sz val="18"/>
      <color theme="0"/>
      <name val="微软雅黑"/>
      <family val="2"/>
      <charset val="134"/>
    </font>
    <font>
      <b/>
      <sz val="18"/>
      <color theme="1"/>
      <name val="微软雅黑"/>
      <family val="2"/>
      <charset val="134"/>
    </font>
    <font>
      <sz val="9"/>
      <color theme="1"/>
      <name val="等线"/>
      <family val="2"/>
      <scheme val="minor"/>
    </font>
    <font>
      <b/>
      <sz val="8"/>
      <color theme="1"/>
      <name val="微软雅黑"/>
      <family val="2"/>
      <charset val="134"/>
    </font>
    <font>
      <sz val="14"/>
      <color theme="1"/>
      <name val="Arial"/>
      <family val="2"/>
    </font>
    <font>
      <sz val="12"/>
      <color rgb="FFFF0000"/>
      <name val="微软雅黑"/>
      <family val="2"/>
      <charset val="134"/>
    </font>
    <font>
      <sz val="12"/>
      <color theme="4" tint="-0.249977111117893"/>
      <name val="微软雅黑"/>
      <family val="2"/>
      <charset val="134"/>
    </font>
    <font>
      <b/>
      <sz val="10"/>
      <color rgb="FFFF0000"/>
      <name val="微软雅黑"/>
      <family val="2"/>
      <charset val="134"/>
    </font>
    <font>
      <sz val="9"/>
      <color rgb="FFFF0000"/>
      <name val="微软雅黑"/>
      <family val="2"/>
      <charset val="134"/>
    </font>
    <font>
      <sz val="14"/>
      <color theme="1"/>
      <name val="方正舒体"/>
      <family val="3"/>
      <charset val="134"/>
    </font>
    <font>
      <b/>
      <sz val="14"/>
      <color rgb="FFC00000"/>
      <name val="微软雅黑"/>
      <family val="2"/>
      <charset val="134"/>
    </font>
    <font>
      <b/>
      <u/>
      <sz val="14"/>
      <color rgb="FFC00000"/>
      <name val="微软雅黑"/>
      <family val="2"/>
      <charset val="134"/>
    </font>
    <font>
      <u/>
      <sz val="14"/>
      <color theme="1"/>
      <name val="微软雅黑"/>
      <family val="2"/>
      <charset val="134"/>
    </font>
    <font>
      <b/>
      <u/>
      <sz val="18"/>
      <color theme="10"/>
      <name val="等线"/>
      <family val="3"/>
      <charset val="134"/>
      <scheme val="minor"/>
    </font>
    <font>
      <sz val="6"/>
      <color theme="0"/>
      <name val="微软雅黑"/>
      <family val="2"/>
      <charset val="134"/>
    </font>
    <font>
      <b/>
      <sz val="10"/>
      <color rgb="FF000000"/>
      <name val="微软雅黑"/>
      <family val="2"/>
      <charset val="134"/>
    </font>
    <font>
      <b/>
      <sz val="11"/>
      <color theme="0"/>
      <name val="微软雅黑"/>
      <family val="2"/>
      <charset val="134"/>
    </font>
    <font>
      <b/>
      <sz val="10"/>
      <color rgb="FFFFFF00"/>
      <name val="微软雅黑"/>
      <family val="2"/>
      <charset val="134"/>
    </font>
    <font>
      <sz val="11"/>
      <color theme="1"/>
      <name val="等线"/>
      <family val="3"/>
      <charset val="134"/>
    </font>
    <font>
      <b/>
      <sz val="11"/>
      <color theme="1"/>
      <name val="等线"/>
      <family val="3"/>
      <charset val="134"/>
    </font>
    <font>
      <sz val="14"/>
      <color theme="1"/>
      <name val="隶书"/>
      <family val="3"/>
      <charset val="134"/>
    </font>
    <font>
      <sz val="10"/>
      <color rgb="FF000000"/>
      <name val="微软雅黑"/>
      <family val="2"/>
      <charset val="134"/>
    </font>
    <font>
      <b/>
      <sz val="14"/>
      <color rgb="FF000000"/>
      <name val="微软雅黑"/>
      <family val="2"/>
      <charset val="134"/>
    </font>
    <font>
      <b/>
      <sz val="12"/>
      <color rgb="FFC00000"/>
      <name val="微软雅黑"/>
      <family val="2"/>
      <charset val="134"/>
    </font>
    <font>
      <sz val="14"/>
      <color theme="1"/>
      <name val="华文隶书"/>
      <family val="3"/>
      <charset val="134"/>
    </font>
    <font>
      <b/>
      <sz val="11"/>
      <color rgb="FFFFFF00"/>
      <name val="微软雅黑"/>
      <family val="2"/>
      <charset val="134"/>
    </font>
    <font>
      <b/>
      <sz val="18"/>
      <color rgb="FFFFFF00"/>
      <name val="幼圆"/>
      <family val="3"/>
      <charset val="134"/>
    </font>
    <font>
      <b/>
      <sz val="11"/>
      <color theme="0"/>
      <name val="等线"/>
      <family val="3"/>
      <charset val="134"/>
    </font>
    <font>
      <sz val="11"/>
      <color theme="0"/>
      <name val="微软雅黑"/>
      <family val="2"/>
      <charset val="134"/>
    </font>
    <font>
      <b/>
      <sz val="10.5"/>
      <color theme="1"/>
      <name val="微软雅黑"/>
      <family val="2"/>
      <charset val="134"/>
    </font>
    <font>
      <sz val="10.5"/>
      <color theme="1"/>
      <name val="微软雅黑"/>
      <family val="2"/>
      <charset val="134"/>
    </font>
    <font>
      <u/>
      <sz val="9"/>
      <color theme="1"/>
      <name val="微软雅黑"/>
      <family val="2"/>
      <charset val="134"/>
    </font>
    <font>
      <sz val="9"/>
      <color theme="1" tint="0.499984740745262"/>
      <name val="微软雅黑"/>
      <family val="2"/>
      <charset val="134"/>
    </font>
    <font>
      <sz val="10"/>
      <color rgb="FFC00000"/>
      <name val="微软雅黑"/>
      <family val="2"/>
      <charset val="134"/>
    </font>
    <font>
      <u/>
      <sz val="10"/>
      <color theme="1"/>
      <name val="微软雅黑"/>
      <family val="2"/>
      <charset val="134"/>
    </font>
    <font>
      <b/>
      <sz val="11"/>
      <color rgb="FF0000FF"/>
      <name val="微软雅黑"/>
      <family val="2"/>
      <charset val="134"/>
    </font>
    <font>
      <b/>
      <sz val="12"/>
      <color rgb="FF0000FF"/>
      <name val="微软雅黑"/>
      <family val="2"/>
      <charset val="134"/>
    </font>
    <font>
      <u/>
      <sz val="11"/>
      <color theme="1"/>
      <name val="微软雅黑"/>
      <family val="2"/>
      <charset val="134"/>
    </font>
    <font>
      <sz val="8"/>
      <color rgb="FFFF0000"/>
      <name val="微软雅黑"/>
      <family val="2"/>
      <charset val="134"/>
    </font>
    <font>
      <b/>
      <sz val="18"/>
      <color rgb="FFFFFF00"/>
      <name val="微软雅黑"/>
      <family val="2"/>
      <charset val="134"/>
    </font>
    <font>
      <b/>
      <sz val="18"/>
      <color rgb="FFFF0000"/>
      <name val="微软雅黑"/>
      <family val="2"/>
      <charset val="134"/>
    </font>
    <font>
      <sz val="12"/>
      <name val="微软雅黑"/>
      <family val="2"/>
      <charset val="134"/>
    </font>
    <font>
      <b/>
      <sz val="28"/>
      <color rgb="FFFFFF00"/>
      <name val="微软雅黑"/>
      <family val="2"/>
      <charset val="134"/>
    </font>
    <font>
      <b/>
      <sz val="10"/>
      <color theme="9" tint="0.79998168889431442"/>
      <name val="微软雅黑"/>
      <family val="2"/>
      <charset val="134"/>
    </font>
    <font>
      <b/>
      <sz val="10"/>
      <color theme="1" tint="0.34998626667073579"/>
      <name val="微软雅黑"/>
      <family val="2"/>
      <charset val="134"/>
    </font>
    <font>
      <b/>
      <sz val="11"/>
      <color theme="1" tint="0.34998626667073579"/>
      <name val="微软雅黑"/>
      <family val="2"/>
      <charset val="134"/>
    </font>
    <font>
      <b/>
      <sz val="10"/>
      <color theme="8" tint="-0.249977111117893"/>
      <name val="微软雅黑"/>
      <family val="2"/>
      <charset val="134"/>
    </font>
    <font>
      <sz val="11"/>
      <color theme="8" tint="-0.249977111117893"/>
      <name val="微软雅黑"/>
      <family val="2"/>
      <charset val="134"/>
    </font>
    <font>
      <sz val="6"/>
      <color theme="1"/>
      <name val="等线"/>
      <family val="3"/>
      <charset val="134"/>
      <scheme val="minor"/>
    </font>
    <font>
      <b/>
      <u/>
      <sz val="16"/>
      <color rgb="FF0070C0"/>
      <name val="等线"/>
      <family val="3"/>
      <charset val="134"/>
    </font>
    <font>
      <b/>
      <sz val="12"/>
      <color theme="8" tint="-0.499984740745262"/>
      <name val="微软雅黑"/>
      <family val="2"/>
      <charset val="134"/>
    </font>
    <font>
      <sz val="12"/>
      <color rgb="FFFFFF00"/>
      <name val="微软雅黑"/>
      <family val="2"/>
      <charset val="134"/>
    </font>
    <font>
      <b/>
      <sz val="11"/>
      <color indexed="8"/>
      <name val="微软雅黑"/>
      <family val="2"/>
      <charset val="134"/>
    </font>
    <font>
      <sz val="12"/>
      <color theme="9" tint="0.79998168889431442"/>
      <name val="微软雅黑"/>
      <family val="2"/>
      <charset val="134"/>
    </font>
    <font>
      <b/>
      <u/>
      <sz val="12"/>
      <color theme="9" tint="0.79998168889431442"/>
      <name val="微软雅黑"/>
      <family val="2"/>
      <charset val="134"/>
    </font>
    <font>
      <b/>
      <sz val="12"/>
      <color theme="9" tint="0.79998168889431442"/>
      <name val="微软雅黑"/>
      <family val="2"/>
      <charset val="134"/>
    </font>
    <font>
      <sz val="12"/>
      <color theme="0"/>
      <name val="微软雅黑"/>
      <family val="2"/>
      <charset val="134"/>
    </font>
    <font>
      <sz val="12"/>
      <color theme="1" tint="0.499984740745262"/>
      <name val="微软雅黑"/>
      <family val="2"/>
      <charset val="134"/>
    </font>
    <font>
      <sz val="14"/>
      <color theme="9" tint="0.79998168889431442"/>
      <name val="微软雅黑"/>
      <family val="2"/>
      <charset val="134"/>
    </font>
    <font>
      <b/>
      <sz val="18"/>
      <color theme="9" tint="0.79998168889431442"/>
      <name val="隶书"/>
      <family val="3"/>
      <charset val="134"/>
    </font>
    <font>
      <b/>
      <sz val="14"/>
      <color theme="9" tint="0.79998168889431442"/>
      <name val="微软雅黑"/>
      <family val="2"/>
      <charset val="134"/>
    </font>
    <font>
      <b/>
      <u/>
      <sz val="26"/>
      <color theme="10"/>
      <name val="微软雅黑"/>
      <family val="2"/>
      <charset val="134"/>
    </font>
    <font>
      <b/>
      <u/>
      <sz val="24"/>
      <color theme="10"/>
      <name val="微软雅黑"/>
      <family val="2"/>
      <charset val="134"/>
    </font>
    <font>
      <sz val="10"/>
      <color indexed="8"/>
      <name val="微软雅黑"/>
      <family val="2"/>
      <charset val="134"/>
    </font>
    <font>
      <sz val="11"/>
      <color indexed="8"/>
      <name val="微软雅黑"/>
      <family val="2"/>
      <charset val="134"/>
    </font>
    <font>
      <b/>
      <sz val="9"/>
      <color theme="9" tint="0.79998168889431442"/>
      <name val="微软雅黑"/>
      <family val="2"/>
      <charset val="134"/>
    </font>
    <font>
      <b/>
      <sz val="12"/>
      <color theme="4" tint="-0.499984740745262"/>
      <name val="微软雅黑"/>
      <family val="2"/>
      <charset val="134"/>
    </font>
    <font>
      <b/>
      <sz val="12"/>
      <color theme="8" tint="-0.249977111117893"/>
      <name val="微软雅黑"/>
      <family val="2"/>
      <charset val="134"/>
    </font>
    <font>
      <sz val="11"/>
      <color theme="9" tint="0.79998168889431442"/>
      <name val="等线"/>
      <family val="2"/>
      <scheme val="minor"/>
    </font>
    <font>
      <i/>
      <sz val="12"/>
      <color theme="0" tint="-0.34998626667073579"/>
      <name val="微软雅黑"/>
      <family val="2"/>
      <charset val="134"/>
    </font>
    <font>
      <sz val="12"/>
      <color theme="0" tint="-0.34998626667073579"/>
      <name val="微软雅黑"/>
      <family val="2"/>
      <charset val="134"/>
    </font>
    <font>
      <b/>
      <sz val="10"/>
      <color theme="1" tint="0.499984740745262"/>
      <name val="微软雅黑"/>
      <family val="2"/>
      <charset val="134"/>
    </font>
    <font>
      <b/>
      <sz val="16"/>
      <name val="微软雅黑"/>
      <family val="2"/>
      <charset val="134"/>
    </font>
    <font>
      <sz val="10"/>
      <color theme="1"/>
      <name val="Calibri"/>
      <family val="2"/>
    </font>
    <font>
      <b/>
      <sz val="9"/>
      <color theme="1"/>
      <name val="等线"/>
      <family val="3"/>
      <charset val="134"/>
      <scheme val="minor"/>
    </font>
    <font>
      <b/>
      <sz val="11"/>
      <color theme="9" tint="0.79998168889431442"/>
      <name val="微软雅黑"/>
      <family val="2"/>
      <charset val="134"/>
    </font>
    <font>
      <sz val="8"/>
      <color theme="1"/>
      <name val="微软雅黑"/>
      <family val="2"/>
      <charset val="134"/>
    </font>
    <font>
      <b/>
      <sz val="11"/>
      <color theme="8" tint="-0.249977111117893"/>
      <name val="微软雅黑"/>
      <family val="2"/>
      <charset val="134"/>
    </font>
    <font>
      <sz val="12"/>
      <color theme="8" tint="-0.249977111117893"/>
      <name val="微软雅黑"/>
      <family val="2"/>
      <charset val="134"/>
    </font>
    <font>
      <sz val="12"/>
      <color theme="1"/>
      <name val="华文细黑"/>
      <family val="3"/>
      <charset val="134"/>
    </font>
    <font>
      <b/>
      <sz val="11"/>
      <color theme="0"/>
      <name val="微软雅黑"/>
      <family val="3"/>
      <charset val="134"/>
    </font>
    <font>
      <sz val="10"/>
      <color theme="1"/>
      <name val="宋体"/>
      <family val="2"/>
      <charset val="134"/>
    </font>
    <font>
      <sz val="14"/>
      <color theme="3" tint="0.39997558519241921"/>
      <name val="微软雅黑"/>
      <family val="2"/>
      <charset val="134"/>
    </font>
    <font>
      <sz val="10"/>
      <color rgb="FF000000"/>
      <name val="Arial"/>
      <family val="2"/>
    </font>
    <font>
      <sz val="11"/>
      <color rgb="FFFF0000"/>
      <name val="等线"/>
      <family val="3"/>
      <charset val="134"/>
      <scheme val="minor"/>
    </font>
    <font>
      <sz val="9"/>
      <color rgb="FFFF0000"/>
      <name val="等线"/>
      <family val="2"/>
      <scheme val="minor"/>
    </font>
    <font>
      <sz val="12"/>
      <color rgb="FF000000"/>
      <name val="宋体"/>
      <family val="3"/>
      <charset val="134"/>
    </font>
    <font>
      <sz val="14"/>
      <color rgb="FFFF0000"/>
      <name val="微软雅黑"/>
      <family val="2"/>
      <charset val="134"/>
    </font>
    <font>
      <sz val="12"/>
      <color rgb="FFFF0000"/>
      <name val="宋体"/>
      <family val="3"/>
      <charset val="134"/>
    </font>
    <font>
      <sz val="12"/>
      <color theme="1"/>
      <name val="宋体"/>
      <family val="3"/>
      <charset val="134"/>
    </font>
    <font>
      <sz val="10"/>
      <color theme="1"/>
      <name val="Arial"/>
      <family val="2"/>
    </font>
    <font>
      <b/>
      <sz val="18"/>
      <color theme="9" tint="0.79998168889431442"/>
      <name val="微软雅黑"/>
      <family val="2"/>
      <charset val="134"/>
    </font>
    <font>
      <i/>
      <sz val="12"/>
      <color theme="5"/>
      <name val="微软雅黑"/>
      <family val="2"/>
      <charset val="134"/>
    </font>
    <font>
      <i/>
      <sz val="12"/>
      <color theme="9" tint="0.79998168889431442"/>
      <name val="微软雅黑"/>
      <family val="2"/>
      <charset val="134"/>
    </font>
    <font>
      <sz val="14"/>
      <color rgb="FFFF0000"/>
      <name val="Arial"/>
      <family val="2"/>
    </font>
    <font>
      <sz val="14"/>
      <color rgb="FFFF0000"/>
      <name val="Arial"/>
      <family val="2"/>
      <charset val="134"/>
    </font>
  </fonts>
  <fills count="24">
    <fill>
      <patternFill patternType="none"/>
    </fill>
    <fill>
      <patternFill patternType="gray125"/>
    </fill>
    <fill>
      <patternFill patternType="solid">
        <fgColor theme="9" tint="0.79998168889431442"/>
        <bgColor indexed="64"/>
      </patternFill>
    </fill>
    <fill>
      <patternFill patternType="solid">
        <fgColor theme="0"/>
        <bgColor indexed="64"/>
      </patternFill>
    </fill>
    <fill>
      <patternFill patternType="solid">
        <fgColor theme="7"/>
        <bgColor indexed="64"/>
      </patternFill>
    </fill>
    <fill>
      <patternFill patternType="solid">
        <fgColor theme="4" tint="0.79998168889431442"/>
        <bgColor indexed="64"/>
      </patternFill>
    </fill>
    <fill>
      <patternFill patternType="solid">
        <fgColor theme="5" tint="0.79998168889431442"/>
        <bgColor indexed="64"/>
      </patternFill>
    </fill>
    <fill>
      <patternFill patternType="solid">
        <fgColor theme="0" tint="-0.14999847407452621"/>
        <bgColor indexed="64"/>
      </patternFill>
    </fill>
    <fill>
      <patternFill patternType="solid">
        <fgColor theme="3" tint="-0.249977111117893"/>
        <bgColor indexed="64"/>
      </patternFill>
    </fill>
    <fill>
      <patternFill patternType="solid">
        <fgColor theme="9" tint="0.59999389629810485"/>
        <bgColor indexed="64"/>
      </patternFill>
    </fill>
    <fill>
      <patternFill patternType="solid">
        <fgColor theme="9" tint="-0.249977111117893"/>
        <bgColor indexed="64"/>
      </patternFill>
    </fill>
    <fill>
      <patternFill patternType="solid">
        <fgColor theme="7" tint="0.59999389629810485"/>
        <bgColor indexed="64"/>
      </patternFill>
    </fill>
    <fill>
      <patternFill patternType="solid">
        <fgColor theme="4" tint="0.39997558519241921"/>
        <bgColor indexed="64"/>
      </patternFill>
    </fill>
    <fill>
      <patternFill patternType="solid">
        <fgColor rgb="FFFFFF00"/>
        <bgColor indexed="64"/>
      </patternFill>
    </fill>
    <fill>
      <patternFill patternType="solid">
        <fgColor theme="8" tint="0.39997558519241921"/>
        <bgColor indexed="64"/>
      </patternFill>
    </fill>
    <fill>
      <patternFill patternType="solid">
        <fgColor theme="8" tint="0.79998168889431442"/>
        <bgColor indexed="64"/>
      </patternFill>
    </fill>
    <fill>
      <patternFill patternType="solid">
        <fgColor theme="8" tint="0.59999389629810485"/>
        <bgColor indexed="64"/>
      </patternFill>
    </fill>
    <fill>
      <patternFill patternType="solid">
        <fgColor theme="4" tint="-0.249977111117893"/>
        <bgColor indexed="64"/>
      </patternFill>
    </fill>
    <fill>
      <patternFill patternType="solid">
        <fgColor theme="9" tint="0.39997558519241921"/>
        <bgColor indexed="64"/>
      </patternFill>
    </fill>
    <fill>
      <patternFill patternType="solid">
        <fgColor theme="2" tint="-9.9978637043366805E-2"/>
        <bgColor indexed="64"/>
      </patternFill>
    </fill>
    <fill>
      <patternFill patternType="solid">
        <fgColor theme="9" tint="0.79998168889431442"/>
        <bgColor rgb="FF000000"/>
      </patternFill>
    </fill>
    <fill>
      <patternFill patternType="solid">
        <fgColor theme="0" tint="-0.249977111117893"/>
        <bgColor indexed="64"/>
      </patternFill>
    </fill>
    <fill>
      <patternFill patternType="solid">
        <fgColor theme="7" tint="0.79998168889431442"/>
        <bgColor indexed="64"/>
      </patternFill>
    </fill>
    <fill>
      <patternFill patternType="solid">
        <fgColor theme="0" tint="-4.9989318521683403E-2"/>
        <bgColor indexed="64"/>
      </patternFill>
    </fill>
  </fills>
  <borders count="147">
    <border>
      <left/>
      <right/>
      <top/>
      <bottom/>
      <diagonal/>
    </border>
    <border>
      <left style="thin">
        <color indexed="64"/>
      </left>
      <right style="thin">
        <color indexed="64"/>
      </right>
      <top style="thin">
        <color indexed="64"/>
      </top>
      <bottom style="thin">
        <color indexed="64"/>
      </bottom>
      <diagonal/>
    </border>
    <border>
      <left style="thin">
        <color auto="1"/>
      </left>
      <right style="thin">
        <color auto="1"/>
      </right>
      <top/>
      <bottom style="thin">
        <color auto="1"/>
      </bottom>
      <diagonal/>
    </border>
    <border>
      <left/>
      <right/>
      <top/>
      <bottom style="thin">
        <color indexed="64"/>
      </bottom>
      <diagonal/>
    </border>
    <border>
      <left/>
      <right style="thin">
        <color indexed="64"/>
      </right>
      <top/>
      <bottom style="thin">
        <color indexed="64"/>
      </bottom>
      <diagonal/>
    </border>
    <border>
      <left style="thin">
        <color auto="1"/>
      </left>
      <right style="thin">
        <color auto="1"/>
      </right>
      <top style="thin">
        <color auto="1"/>
      </top>
      <bottom/>
      <diagonal/>
    </border>
    <border>
      <left/>
      <right style="thin">
        <color indexed="64"/>
      </right>
      <top/>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diagonal/>
    </border>
    <border>
      <left/>
      <right/>
      <top style="thin">
        <color indexed="64"/>
      </top>
      <bottom/>
      <diagonal/>
    </border>
    <border>
      <left style="thin">
        <color indexed="64"/>
      </left>
      <right style="thin">
        <color indexed="64"/>
      </right>
      <top/>
      <bottom/>
      <diagonal/>
    </border>
    <border>
      <left style="thin">
        <color indexed="64"/>
      </left>
      <right/>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auto="1"/>
      </top>
      <bottom style="thin">
        <color auto="1"/>
      </bottom>
      <diagonal/>
    </border>
    <border>
      <left style="thin">
        <color theme="1"/>
      </left>
      <right style="thin">
        <color theme="1"/>
      </right>
      <top/>
      <bottom style="thin">
        <color theme="1"/>
      </bottom>
      <diagonal/>
    </border>
    <border>
      <left/>
      <right/>
      <top/>
      <bottom style="thick">
        <color indexed="64"/>
      </bottom>
      <diagonal/>
    </border>
    <border>
      <left/>
      <right style="thin">
        <color theme="1"/>
      </right>
      <top style="thin">
        <color theme="1"/>
      </top>
      <bottom/>
      <diagonal/>
    </border>
    <border>
      <left/>
      <right/>
      <top/>
      <bottom style="thin">
        <color theme="1"/>
      </bottom>
      <diagonal/>
    </border>
    <border>
      <left/>
      <right style="thin">
        <color theme="1"/>
      </right>
      <top/>
      <bottom/>
      <diagonal/>
    </border>
    <border>
      <left style="thin">
        <color theme="1"/>
      </left>
      <right/>
      <top style="thin">
        <color theme="1"/>
      </top>
      <bottom/>
      <diagonal/>
    </border>
    <border>
      <left style="thin">
        <color theme="1"/>
      </left>
      <right/>
      <top/>
      <bottom/>
      <diagonal/>
    </border>
    <border>
      <left style="thin">
        <color theme="1"/>
      </left>
      <right/>
      <top/>
      <bottom style="thin">
        <color theme="1"/>
      </bottom>
      <diagonal/>
    </border>
    <border>
      <left/>
      <right style="thin">
        <color theme="1"/>
      </right>
      <top/>
      <bottom style="thin">
        <color theme="1"/>
      </bottom>
      <diagonal/>
    </border>
    <border>
      <left/>
      <right/>
      <top style="thin">
        <color theme="1"/>
      </top>
      <bottom/>
      <diagonal/>
    </border>
    <border>
      <left style="thin">
        <color theme="1"/>
      </left>
      <right style="thin">
        <color theme="1"/>
      </right>
      <top style="thin">
        <color theme="1"/>
      </top>
      <bottom style="thin">
        <color indexed="64"/>
      </bottom>
      <diagonal/>
    </border>
    <border>
      <left style="thin">
        <color theme="1"/>
      </left>
      <right style="thin">
        <color theme="1"/>
      </right>
      <top style="thin">
        <color indexed="64"/>
      </top>
      <bottom style="thin">
        <color indexed="64"/>
      </bottom>
      <diagonal/>
    </border>
    <border>
      <left style="thin">
        <color theme="1"/>
      </left>
      <right style="thin">
        <color theme="1"/>
      </right>
      <top style="thin">
        <color indexed="64"/>
      </top>
      <bottom style="thin">
        <color theme="1"/>
      </bottom>
      <diagonal/>
    </border>
    <border>
      <left style="thin">
        <color theme="1"/>
      </left>
      <right style="thin">
        <color theme="1"/>
      </right>
      <top style="thin">
        <color theme="1"/>
      </top>
      <bottom style="thin">
        <color theme="1"/>
      </bottom>
      <diagonal/>
    </border>
    <border>
      <left style="thin">
        <color theme="1"/>
      </left>
      <right style="thin">
        <color theme="1"/>
      </right>
      <top style="thin">
        <color theme="1"/>
      </top>
      <bottom/>
      <diagonal/>
    </border>
    <border>
      <left style="thin">
        <color theme="1"/>
      </left>
      <right style="thin">
        <color theme="1"/>
      </right>
      <top/>
      <bottom/>
      <diagonal/>
    </border>
    <border>
      <left/>
      <right/>
      <top/>
      <bottom style="medium">
        <color indexed="64"/>
      </bottom>
      <diagonal/>
    </border>
    <border>
      <left style="medium">
        <color indexed="64"/>
      </left>
      <right/>
      <top style="medium">
        <color indexed="64"/>
      </top>
      <bottom/>
      <diagonal/>
    </border>
    <border>
      <left/>
      <right style="medium">
        <color indexed="64"/>
      </right>
      <top style="medium">
        <color indexed="64"/>
      </top>
      <bottom/>
      <diagonal/>
    </border>
    <border>
      <left/>
      <right/>
      <top style="medium">
        <color indexed="64"/>
      </top>
      <bottom/>
      <diagonal/>
    </border>
    <border>
      <left style="medium">
        <color indexed="64"/>
      </left>
      <right/>
      <top/>
      <bottom/>
      <diagonal/>
    </border>
    <border>
      <left/>
      <right style="medium">
        <color indexed="64"/>
      </right>
      <top/>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auto="1"/>
      </left>
      <right style="thin">
        <color auto="1"/>
      </right>
      <top style="medium">
        <color auto="1"/>
      </top>
      <bottom/>
      <diagonal/>
    </border>
    <border>
      <left style="thin">
        <color auto="1"/>
      </left>
      <right style="thin">
        <color auto="1"/>
      </right>
      <top style="medium">
        <color indexed="64"/>
      </top>
      <bottom/>
      <diagonal/>
    </border>
    <border>
      <left style="thin">
        <color auto="1"/>
      </left>
      <right style="medium">
        <color indexed="64"/>
      </right>
      <top style="medium">
        <color indexed="64"/>
      </top>
      <bottom/>
      <diagonal/>
    </border>
    <border>
      <left style="medium">
        <color auto="1"/>
      </left>
      <right style="thin">
        <color auto="1"/>
      </right>
      <top style="medium">
        <color auto="1"/>
      </top>
      <bottom style="thin">
        <color auto="1"/>
      </bottom>
      <diagonal/>
    </border>
    <border>
      <left style="thin">
        <color auto="1"/>
      </left>
      <right style="thin">
        <color auto="1"/>
      </right>
      <top style="medium">
        <color auto="1"/>
      </top>
      <bottom style="thin">
        <color auto="1"/>
      </bottom>
      <diagonal/>
    </border>
    <border>
      <left style="thin">
        <color indexed="64"/>
      </left>
      <right style="medium">
        <color indexed="64"/>
      </right>
      <top style="medium">
        <color indexed="64"/>
      </top>
      <bottom style="thin">
        <color indexed="64"/>
      </bottom>
      <diagonal/>
    </border>
    <border>
      <left style="medium">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auto="1"/>
      </left>
      <right style="medium">
        <color auto="1"/>
      </right>
      <top style="thin">
        <color auto="1"/>
      </top>
      <bottom style="medium">
        <color auto="1"/>
      </bottom>
      <diagonal/>
    </border>
    <border>
      <left style="medium">
        <color auto="1"/>
      </left>
      <right style="thin">
        <color auto="1"/>
      </right>
      <top/>
      <bottom style="thin">
        <color auto="1"/>
      </bottom>
      <diagonal/>
    </border>
    <border>
      <left style="thin">
        <color auto="1"/>
      </left>
      <right style="medium">
        <color auto="1"/>
      </right>
      <top/>
      <bottom style="thin">
        <color auto="1"/>
      </bottom>
      <diagonal/>
    </border>
    <border>
      <left style="medium">
        <color indexed="64"/>
      </left>
      <right style="thin">
        <color indexed="64"/>
      </right>
      <top style="thin">
        <color indexed="64"/>
      </top>
      <bottom/>
      <diagonal/>
    </border>
    <border>
      <left style="thin">
        <color indexed="64"/>
      </left>
      <right style="medium">
        <color indexed="64"/>
      </right>
      <top style="thin">
        <color indexed="64"/>
      </top>
      <bottom/>
      <diagonal/>
    </border>
    <border>
      <left style="medium">
        <color auto="1"/>
      </left>
      <right style="thin">
        <color auto="1"/>
      </right>
      <top/>
      <bottom/>
      <diagonal/>
    </border>
    <border>
      <left style="medium">
        <color indexed="64"/>
      </left>
      <right style="thin">
        <color auto="1"/>
      </right>
      <top/>
      <bottom style="medium">
        <color indexed="64"/>
      </bottom>
      <diagonal/>
    </border>
    <border>
      <left style="medium">
        <color indexed="64"/>
      </left>
      <right style="thin">
        <color auto="1"/>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thin">
        <color auto="1"/>
      </left>
      <right style="medium">
        <color indexed="64"/>
      </right>
      <top/>
      <bottom style="medium">
        <color indexed="64"/>
      </bottom>
      <diagonal/>
    </border>
    <border>
      <left style="thin">
        <color auto="1"/>
      </left>
      <right style="thin">
        <color auto="1"/>
      </right>
      <top/>
      <bottom style="medium">
        <color auto="1"/>
      </bottom>
      <diagonal/>
    </border>
    <border>
      <left style="medium">
        <color indexed="64"/>
      </left>
      <right style="thin">
        <color rgb="FF000000"/>
      </right>
      <top style="medium">
        <color indexed="64"/>
      </top>
      <bottom style="thin">
        <color rgb="FF000000"/>
      </bottom>
      <diagonal/>
    </border>
    <border>
      <left style="thin">
        <color rgb="FF000000"/>
      </left>
      <right style="thin">
        <color rgb="FF000000"/>
      </right>
      <top style="medium">
        <color indexed="64"/>
      </top>
      <bottom style="thin">
        <color rgb="FF000000"/>
      </bottom>
      <diagonal/>
    </border>
    <border>
      <left style="thin">
        <color rgb="FF000000"/>
      </left>
      <right/>
      <top style="medium">
        <color indexed="64"/>
      </top>
      <bottom style="thin">
        <color rgb="FF000000"/>
      </bottom>
      <diagonal/>
    </border>
    <border>
      <left/>
      <right style="thin">
        <color rgb="FF000000"/>
      </right>
      <top style="medium">
        <color indexed="64"/>
      </top>
      <bottom style="thin">
        <color rgb="FF000000"/>
      </bottom>
      <diagonal/>
    </border>
    <border>
      <left style="thin">
        <color rgb="FF000000"/>
      </left>
      <right style="medium">
        <color indexed="64"/>
      </right>
      <top style="medium">
        <color indexed="64"/>
      </top>
      <bottom style="thin">
        <color rgb="FF000000"/>
      </bottom>
      <diagonal/>
    </border>
    <border>
      <left style="thin">
        <color rgb="FF000000"/>
      </left>
      <right/>
      <top style="thin">
        <color rgb="FF000000"/>
      </top>
      <bottom style="thin">
        <color rgb="FF000000"/>
      </bottom>
      <diagonal/>
    </border>
    <border>
      <left style="medium">
        <color indexed="64"/>
      </left>
      <right style="thin">
        <color rgb="FF000000"/>
      </right>
      <top style="thin">
        <color rgb="FF000000"/>
      </top>
      <bottom/>
      <diagonal/>
    </border>
    <border>
      <left style="thin">
        <color rgb="FF000000"/>
      </left>
      <right style="thin">
        <color rgb="FF000000"/>
      </right>
      <top style="thin">
        <color rgb="FF000000"/>
      </top>
      <bottom/>
      <diagonal/>
    </border>
    <border>
      <left/>
      <right/>
      <top style="thin">
        <color rgb="FF000000"/>
      </top>
      <bottom style="thin">
        <color rgb="FF000000"/>
      </bottom>
      <diagonal/>
    </border>
    <border>
      <left/>
      <right style="medium">
        <color indexed="64"/>
      </right>
      <top style="thin">
        <color rgb="FF000000"/>
      </top>
      <bottom/>
      <diagonal/>
    </border>
    <border>
      <left style="medium">
        <color indexed="64"/>
      </left>
      <right style="thin">
        <color rgb="FF000000"/>
      </right>
      <top/>
      <bottom/>
      <diagonal/>
    </border>
    <border>
      <left style="thin">
        <color rgb="FF000000"/>
      </left>
      <right/>
      <top style="thin">
        <color rgb="FF000000"/>
      </top>
      <bottom/>
      <diagonal/>
    </border>
    <border>
      <left/>
      <right/>
      <top style="thin">
        <color rgb="FF000000"/>
      </top>
      <bottom/>
      <diagonal/>
    </border>
    <border>
      <left style="medium">
        <color indexed="64"/>
      </left>
      <right style="thin">
        <color rgb="FF000000"/>
      </right>
      <top/>
      <bottom style="medium">
        <color indexed="64"/>
      </bottom>
      <diagonal/>
    </border>
    <border>
      <left style="thin">
        <color rgb="FF000000"/>
      </left>
      <right style="thin">
        <color rgb="FF000000"/>
      </right>
      <top style="thin">
        <color rgb="FF000000"/>
      </top>
      <bottom style="medium">
        <color indexed="64"/>
      </bottom>
      <diagonal/>
    </border>
    <border>
      <left style="thin">
        <color rgb="FF000000"/>
      </left>
      <right/>
      <top/>
      <bottom style="medium">
        <color indexed="64"/>
      </bottom>
      <diagonal/>
    </border>
    <border>
      <left style="thin">
        <color theme="1"/>
      </left>
      <right/>
      <top style="medium">
        <color indexed="64"/>
      </top>
      <bottom/>
      <diagonal/>
    </border>
    <border>
      <left/>
      <right style="thin">
        <color theme="1"/>
      </right>
      <top style="medium">
        <color indexed="64"/>
      </top>
      <bottom/>
      <diagonal/>
    </border>
    <border>
      <left style="medium">
        <color indexed="64"/>
      </left>
      <right/>
      <top style="thin">
        <color auto="1"/>
      </top>
      <bottom style="medium">
        <color indexed="64"/>
      </bottom>
      <diagonal/>
    </border>
    <border>
      <left/>
      <right style="medium">
        <color indexed="64"/>
      </right>
      <top style="thin">
        <color indexed="64"/>
      </top>
      <bottom style="medium">
        <color indexed="64"/>
      </bottom>
      <diagonal/>
    </border>
    <border>
      <left style="medium">
        <color theme="1"/>
      </left>
      <right style="thin">
        <color theme="1"/>
      </right>
      <top style="medium">
        <color theme="1"/>
      </top>
      <bottom style="medium">
        <color theme="1"/>
      </bottom>
      <diagonal/>
    </border>
    <border>
      <left style="thin">
        <color theme="1"/>
      </left>
      <right style="thin">
        <color theme="1"/>
      </right>
      <top style="medium">
        <color theme="1"/>
      </top>
      <bottom style="medium">
        <color theme="1"/>
      </bottom>
      <diagonal/>
    </border>
    <border>
      <left style="thin">
        <color theme="1"/>
      </left>
      <right style="medium">
        <color theme="1"/>
      </right>
      <top style="medium">
        <color theme="1"/>
      </top>
      <bottom style="medium">
        <color theme="1"/>
      </bottom>
      <diagonal/>
    </border>
    <border>
      <left style="medium">
        <color theme="1"/>
      </left>
      <right style="thin">
        <color auto="1"/>
      </right>
      <top style="medium">
        <color theme="1"/>
      </top>
      <bottom style="thin">
        <color auto="1"/>
      </bottom>
      <diagonal/>
    </border>
    <border>
      <left style="thin">
        <color auto="1"/>
      </left>
      <right style="medium">
        <color theme="1"/>
      </right>
      <top style="medium">
        <color theme="1"/>
      </top>
      <bottom style="thin">
        <color auto="1"/>
      </bottom>
      <diagonal/>
    </border>
    <border>
      <left style="medium">
        <color theme="1"/>
      </left>
      <right style="thin">
        <color auto="1"/>
      </right>
      <top style="thin">
        <color auto="1"/>
      </top>
      <bottom style="thin">
        <color auto="1"/>
      </bottom>
      <diagonal/>
    </border>
    <border>
      <left style="thin">
        <color auto="1"/>
      </left>
      <right style="medium">
        <color theme="1"/>
      </right>
      <top style="thin">
        <color auto="1"/>
      </top>
      <bottom style="thin">
        <color auto="1"/>
      </bottom>
      <diagonal/>
    </border>
    <border>
      <left style="medium">
        <color theme="1"/>
      </left>
      <right style="thin">
        <color auto="1"/>
      </right>
      <top style="thin">
        <color auto="1"/>
      </top>
      <bottom style="medium">
        <color theme="1"/>
      </bottom>
      <diagonal/>
    </border>
    <border>
      <left style="thin">
        <color auto="1"/>
      </left>
      <right style="medium">
        <color theme="1"/>
      </right>
      <top style="thin">
        <color auto="1"/>
      </top>
      <bottom style="medium">
        <color theme="1"/>
      </bottom>
      <diagonal/>
    </border>
    <border>
      <left style="thin">
        <color theme="1"/>
      </left>
      <right/>
      <top style="thin">
        <color theme="1"/>
      </top>
      <bottom style="thin">
        <color theme="1"/>
      </bottom>
      <diagonal/>
    </border>
    <border>
      <left style="thin">
        <color auto="1"/>
      </left>
      <right style="thin">
        <color auto="1"/>
      </right>
      <top style="medium">
        <color theme="1"/>
      </top>
      <bottom style="thin">
        <color auto="1"/>
      </bottom>
      <diagonal/>
    </border>
    <border>
      <left style="thin">
        <color auto="1"/>
      </left>
      <right style="thin">
        <color auto="1"/>
      </right>
      <top style="medium">
        <color theme="1"/>
      </top>
      <bottom/>
      <diagonal/>
    </border>
    <border>
      <left style="thin">
        <color theme="1"/>
      </left>
      <right style="thin">
        <color theme="1"/>
      </right>
      <top style="medium">
        <color theme="1"/>
      </top>
      <bottom style="thin">
        <color indexed="64"/>
      </bottom>
      <diagonal/>
    </border>
    <border>
      <left/>
      <right style="thin">
        <color indexed="64"/>
      </right>
      <top style="medium">
        <color theme="1"/>
      </top>
      <bottom style="thin">
        <color indexed="64"/>
      </bottom>
      <diagonal/>
    </border>
    <border>
      <left style="thin">
        <color indexed="64"/>
      </left>
      <right style="thin">
        <color indexed="64"/>
      </right>
      <top style="thin">
        <color indexed="64"/>
      </top>
      <bottom style="medium">
        <color theme="1"/>
      </bottom>
      <diagonal/>
    </border>
    <border>
      <left style="medium">
        <color theme="1"/>
      </left>
      <right style="thin">
        <color indexed="64"/>
      </right>
      <top style="thin">
        <color indexed="64"/>
      </top>
      <bottom/>
      <diagonal/>
    </border>
    <border>
      <left style="thin">
        <color indexed="64"/>
      </left>
      <right style="medium">
        <color theme="1"/>
      </right>
      <top style="thin">
        <color indexed="64"/>
      </top>
      <bottom/>
      <diagonal/>
    </border>
    <border>
      <left style="thin">
        <color theme="1"/>
      </left>
      <right style="thin">
        <color indexed="64"/>
      </right>
      <top style="thin">
        <color indexed="64"/>
      </top>
      <bottom style="thin">
        <color theme="1"/>
      </bottom>
      <diagonal/>
    </border>
    <border>
      <left/>
      <right style="thin">
        <color theme="1"/>
      </right>
      <top style="thin">
        <color theme="1"/>
      </top>
      <bottom style="thin">
        <color theme="1"/>
      </bottom>
      <diagonal/>
    </border>
    <border>
      <left/>
      <right style="thin">
        <color theme="1"/>
      </right>
      <top style="thin">
        <color indexed="64"/>
      </top>
      <bottom style="thin">
        <color theme="1"/>
      </bottom>
      <diagonal/>
    </border>
    <border>
      <left/>
      <right style="thin">
        <color theme="0"/>
      </right>
      <top/>
      <bottom/>
      <diagonal/>
    </border>
    <border>
      <left style="thin">
        <color theme="1"/>
      </left>
      <right style="thin">
        <color indexed="64"/>
      </right>
      <top style="thin">
        <color theme="1"/>
      </top>
      <bottom style="thin">
        <color theme="1"/>
      </bottom>
      <diagonal/>
    </border>
    <border>
      <left/>
      <right/>
      <top style="medium">
        <color theme="1"/>
      </top>
      <bottom style="thin">
        <color indexed="64"/>
      </bottom>
      <diagonal/>
    </border>
    <border>
      <left style="thin">
        <color indexed="64"/>
      </left>
      <right style="thin">
        <color theme="0"/>
      </right>
      <top style="thin">
        <color indexed="64"/>
      </top>
      <bottom style="thin">
        <color indexed="64"/>
      </bottom>
      <diagonal/>
    </border>
    <border>
      <left style="thin">
        <color theme="1"/>
      </left>
      <right style="thin">
        <color indexed="64"/>
      </right>
      <top style="thin">
        <color theme="1"/>
      </top>
      <bottom/>
      <diagonal/>
    </border>
    <border>
      <left style="thin">
        <color auto="1"/>
      </left>
      <right style="thin">
        <color auto="1"/>
      </right>
      <top style="thin">
        <color theme="1"/>
      </top>
      <bottom style="thin">
        <color theme="1"/>
      </bottom>
      <diagonal/>
    </border>
    <border>
      <left style="thin">
        <color auto="1"/>
      </left>
      <right style="thin">
        <color theme="1"/>
      </right>
      <top style="thin">
        <color theme="1"/>
      </top>
      <bottom style="thin">
        <color theme="1"/>
      </bottom>
      <diagonal/>
    </border>
    <border>
      <left style="thin">
        <color theme="1"/>
      </left>
      <right/>
      <top/>
      <bottom style="thin">
        <color indexed="64"/>
      </bottom>
      <diagonal/>
    </border>
    <border>
      <left/>
      <right style="thin">
        <color theme="1"/>
      </right>
      <top/>
      <bottom style="thin">
        <color indexed="64"/>
      </bottom>
      <diagonal/>
    </border>
    <border>
      <left style="thin">
        <color auto="1"/>
      </left>
      <right style="thin">
        <color auto="1"/>
      </right>
      <top style="thin">
        <color theme="1"/>
      </top>
      <bottom/>
      <diagonal/>
    </border>
    <border>
      <left style="thin">
        <color theme="0"/>
      </left>
      <right style="thin">
        <color theme="1"/>
      </right>
      <top style="thin">
        <color theme="1"/>
      </top>
      <bottom/>
      <diagonal/>
    </border>
    <border>
      <left style="thin">
        <color indexed="64"/>
      </left>
      <right/>
      <top style="medium">
        <color indexed="64"/>
      </top>
      <bottom style="medium">
        <color indexed="64"/>
      </bottom>
      <diagonal/>
    </border>
    <border>
      <left/>
      <right style="thin">
        <color indexed="64"/>
      </right>
      <top style="medium">
        <color indexed="64"/>
      </top>
      <bottom style="medium">
        <color indexed="64"/>
      </bottom>
      <diagonal/>
    </border>
    <border>
      <left/>
      <right style="thin">
        <color theme="1"/>
      </right>
      <top style="thin">
        <color indexed="64"/>
      </top>
      <bottom style="thin">
        <color auto="1"/>
      </bottom>
      <diagonal/>
    </border>
    <border>
      <left style="thin">
        <color theme="0"/>
      </left>
      <right style="thin">
        <color theme="1"/>
      </right>
      <top/>
      <bottom/>
      <diagonal/>
    </border>
    <border>
      <left style="thin">
        <color theme="1"/>
      </left>
      <right style="thin">
        <color theme="0"/>
      </right>
      <top style="thin">
        <color theme="1"/>
      </top>
      <bottom style="thin">
        <color indexed="64"/>
      </bottom>
      <diagonal/>
    </border>
    <border>
      <left style="thin">
        <color theme="0"/>
      </left>
      <right style="thin">
        <color theme="1"/>
      </right>
      <top style="thin">
        <color theme="1"/>
      </top>
      <bottom style="thin">
        <color indexed="64"/>
      </bottom>
      <diagonal/>
    </border>
    <border>
      <left style="thin">
        <color theme="0"/>
      </left>
      <right style="thin">
        <color indexed="64"/>
      </right>
      <top style="thin">
        <color indexed="64"/>
      </top>
      <bottom style="thin">
        <color indexed="64"/>
      </bottom>
      <diagonal/>
    </border>
    <border>
      <left/>
      <right/>
      <top style="thin">
        <color indexed="64"/>
      </top>
      <bottom style="medium">
        <color indexed="64"/>
      </bottom>
      <diagonal/>
    </border>
    <border>
      <left style="thin">
        <color theme="1"/>
      </left>
      <right style="thin">
        <color indexed="64"/>
      </right>
      <top/>
      <bottom style="thin">
        <color theme="1"/>
      </bottom>
      <diagonal/>
    </border>
    <border>
      <left style="thin">
        <color theme="1"/>
      </left>
      <right style="thin">
        <color theme="0"/>
      </right>
      <top/>
      <bottom style="thin">
        <color indexed="64"/>
      </bottom>
      <diagonal/>
    </border>
    <border>
      <left style="thin">
        <color theme="0"/>
      </left>
      <right style="thin">
        <color theme="1"/>
      </right>
      <top/>
      <bottom style="thin">
        <color auto="1"/>
      </bottom>
      <diagonal/>
    </border>
    <border>
      <left style="thin">
        <color theme="1"/>
      </left>
      <right style="thin">
        <color indexed="64"/>
      </right>
      <top style="thin">
        <color indexed="64"/>
      </top>
      <bottom/>
      <diagonal/>
    </border>
    <border>
      <left style="thin">
        <color indexed="64"/>
      </left>
      <right style="thin">
        <color theme="0"/>
      </right>
      <top/>
      <bottom/>
      <diagonal/>
    </border>
    <border>
      <left style="thin">
        <color auto="1"/>
      </left>
      <right style="thin">
        <color auto="1"/>
      </right>
      <top style="thin">
        <color rgb="FF000000"/>
      </top>
      <bottom/>
      <diagonal/>
    </border>
    <border>
      <left style="thin">
        <color theme="0"/>
      </left>
      <right/>
      <top/>
      <bottom/>
      <diagonal/>
    </border>
    <border>
      <left style="thin">
        <color theme="0"/>
      </left>
      <right/>
      <top style="thin">
        <color indexed="64"/>
      </top>
      <bottom style="thin">
        <color indexed="64"/>
      </bottom>
      <diagonal/>
    </border>
    <border>
      <left style="thin">
        <color theme="1"/>
      </left>
      <right style="thin">
        <color theme="0"/>
      </right>
      <top style="thin">
        <color indexed="64"/>
      </top>
      <bottom style="thin">
        <color indexed="64"/>
      </bottom>
      <diagonal/>
    </border>
    <border>
      <left/>
      <right style="thin">
        <color indexed="64"/>
      </right>
      <top style="thin">
        <color theme="1"/>
      </top>
      <bottom/>
      <diagonal/>
    </border>
    <border>
      <left/>
      <right/>
      <top/>
      <bottom style="double">
        <color indexed="64"/>
      </bottom>
      <diagonal/>
    </border>
    <border>
      <left style="thin">
        <color theme="1"/>
      </left>
      <right style="thin">
        <color indexed="64"/>
      </right>
      <top/>
      <bottom style="thin">
        <color auto="1"/>
      </bottom>
      <diagonal/>
    </border>
    <border>
      <left style="thin">
        <color theme="0"/>
      </left>
      <right/>
      <top/>
      <bottom style="thin">
        <color indexed="64"/>
      </bottom>
      <diagonal/>
    </border>
    <border>
      <left style="thin">
        <color indexed="64"/>
      </left>
      <right style="thin">
        <color theme="0"/>
      </right>
      <top style="thin">
        <color indexed="64"/>
      </top>
      <bottom/>
      <diagonal/>
    </border>
    <border>
      <left style="thin">
        <color theme="0"/>
      </left>
      <right style="thin">
        <color indexed="64"/>
      </right>
      <top style="thin">
        <color indexed="64"/>
      </top>
      <bottom/>
      <diagonal/>
    </border>
    <border>
      <left style="thin">
        <color indexed="64"/>
      </left>
      <right style="thin">
        <color theme="0"/>
      </right>
      <top/>
      <bottom style="thin">
        <color indexed="64"/>
      </bottom>
      <diagonal/>
    </border>
    <border>
      <left style="thin">
        <color theme="0"/>
      </left>
      <right style="thin">
        <color indexed="64"/>
      </right>
      <top/>
      <bottom style="thin">
        <color indexed="64"/>
      </bottom>
      <diagonal/>
    </border>
    <border>
      <left style="thin">
        <color theme="0"/>
      </left>
      <right style="thin">
        <color indexed="64"/>
      </right>
      <top/>
      <bottom/>
      <diagonal/>
    </border>
    <border>
      <left style="thin">
        <color auto="1"/>
      </left>
      <right style="thin">
        <color theme="1"/>
      </right>
      <top style="thin">
        <color theme="1"/>
      </top>
      <bottom/>
      <diagonal/>
    </border>
    <border>
      <left style="thin">
        <color auto="1"/>
      </left>
      <right style="thin">
        <color theme="1"/>
      </right>
      <top/>
      <bottom style="thin">
        <color theme="1"/>
      </bottom>
      <diagonal/>
    </border>
    <border>
      <left style="thin">
        <color indexed="64"/>
      </left>
      <right style="thin">
        <color theme="0"/>
      </right>
      <top style="thin">
        <color theme="1"/>
      </top>
      <bottom/>
      <diagonal/>
    </border>
    <border>
      <left/>
      <right style="thin">
        <color indexed="64"/>
      </right>
      <top/>
      <bottom style="thin">
        <color theme="1"/>
      </bottom>
      <diagonal/>
    </border>
    <border>
      <left style="thin">
        <color auto="1"/>
      </left>
      <right style="thin">
        <color theme="1"/>
      </right>
      <top/>
      <bottom/>
      <diagonal/>
    </border>
    <border>
      <left style="thin">
        <color auto="1"/>
      </left>
      <right style="thin">
        <color theme="1"/>
      </right>
      <top/>
      <bottom style="thin">
        <color indexed="64"/>
      </bottom>
      <diagonal/>
    </border>
    <border>
      <left style="thin">
        <color theme="1"/>
      </left>
      <right style="thin">
        <color indexed="64"/>
      </right>
      <top/>
      <bottom/>
      <diagonal/>
    </border>
  </borders>
  <cellStyleXfs count="7">
    <xf numFmtId="0" fontId="0" fillId="0" borderId="0"/>
    <xf numFmtId="0" fontId="9" fillId="0" borderId="0" applyNumberFormat="0" applyFill="0" applyBorder="0" applyAlignment="0" applyProtection="0"/>
    <xf numFmtId="178" fontId="25" fillId="0" borderId="0" applyFont="0" applyFill="0" applyBorder="0" applyAlignment="0" applyProtection="0"/>
    <xf numFmtId="0" fontId="25" fillId="0" borderId="0"/>
    <xf numFmtId="0" fontId="20" fillId="0" borderId="0"/>
    <xf numFmtId="9" fontId="25" fillId="0" borderId="0" applyFont="0" applyFill="0" applyBorder="0" applyAlignment="0" applyProtection="0">
      <alignment vertical="center"/>
    </xf>
    <xf numFmtId="9" fontId="25" fillId="0" borderId="0" applyFont="0" applyFill="0" applyBorder="0" applyAlignment="0" applyProtection="0"/>
  </cellStyleXfs>
  <cellXfs count="1101">
    <xf numFmtId="0" fontId="0" fillId="0" borderId="0" xfId="0"/>
    <xf numFmtId="0" fontId="0" fillId="2" borderId="0" xfId="0" applyFill="1" applyProtection="1">
      <protection hidden="1"/>
    </xf>
    <xf numFmtId="0" fontId="4" fillId="2" borderId="0" xfId="0" applyFont="1" applyFill="1" applyAlignment="1" applyProtection="1">
      <alignment horizontal="left" vertical="top" wrapText="1"/>
      <protection hidden="1"/>
    </xf>
    <xf numFmtId="0" fontId="7" fillId="2" borderId="0" xfId="0" applyFont="1" applyFill="1" applyProtection="1">
      <protection hidden="1"/>
    </xf>
    <xf numFmtId="1" fontId="11" fillId="3" borderId="1" xfId="0" applyNumberFormat="1" applyFont="1" applyFill="1" applyBorder="1" applyAlignment="1" applyProtection="1">
      <alignment horizontal="center" vertical="center"/>
      <protection hidden="1"/>
    </xf>
    <xf numFmtId="0" fontId="15" fillId="3" borderId="0" xfId="0" applyFont="1" applyFill="1" applyBorder="1" applyAlignment="1" applyProtection="1">
      <alignment vertical="center" wrapText="1"/>
      <protection hidden="1"/>
    </xf>
    <xf numFmtId="0" fontId="16" fillId="3" borderId="0" xfId="0" applyFont="1" applyFill="1" applyAlignment="1" applyProtection="1">
      <alignment vertical="center"/>
      <protection hidden="1"/>
    </xf>
    <xf numFmtId="0" fontId="11" fillId="3" borderId="1" xfId="0" applyFont="1" applyFill="1" applyBorder="1" applyAlignment="1" applyProtection="1">
      <alignment vertical="center"/>
      <protection hidden="1"/>
    </xf>
    <xf numFmtId="0" fontId="11" fillId="3" borderId="0" xfId="0" applyFont="1" applyFill="1" applyAlignment="1" applyProtection="1">
      <alignment vertical="center"/>
      <protection hidden="1"/>
    </xf>
    <xf numFmtId="0" fontId="12" fillId="3" borderId="0" xfId="0" applyFont="1" applyFill="1" applyAlignment="1" applyProtection="1">
      <alignment vertical="center"/>
      <protection hidden="1"/>
    </xf>
    <xf numFmtId="0" fontId="16" fillId="3" borderId="0" xfId="0" applyFont="1" applyFill="1" applyAlignment="1" applyProtection="1">
      <alignment horizontal="right" vertical="center"/>
      <protection hidden="1"/>
    </xf>
    <xf numFmtId="0" fontId="16" fillId="3" borderId="0" xfId="0" applyFont="1" applyFill="1" applyAlignment="1" applyProtection="1">
      <alignment horizontal="center" vertical="center"/>
      <protection hidden="1"/>
    </xf>
    <xf numFmtId="0" fontId="12" fillId="3" borderId="0" xfId="0" applyFont="1" applyFill="1" applyAlignment="1" applyProtection="1">
      <alignment horizontal="center" vertical="center"/>
      <protection hidden="1"/>
    </xf>
    <xf numFmtId="0" fontId="16" fillId="3" borderId="0" xfId="0" applyFont="1" applyFill="1" applyBorder="1" applyAlignment="1" applyProtection="1">
      <alignment horizontal="center" vertical="center"/>
      <protection hidden="1"/>
    </xf>
    <xf numFmtId="0" fontId="11" fillId="3" borderId="13" xfId="0" applyFont="1" applyFill="1" applyBorder="1" applyAlignment="1" applyProtection="1">
      <alignment vertical="center"/>
      <protection hidden="1"/>
    </xf>
    <xf numFmtId="0" fontId="21" fillId="5" borderId="1" xfId="0" applyFont="1" applyFill="1" applyBorder="1" applyAlignment="1" applyProtection="1">
      <alignment horizontal="center" vertical="center"/>
      <protection hidden="1"/>
    </xf>
    <xf numFmtId="176" fontId="12" fillId="5" borderId="1" xfId="0" applyNumberFormat="1" applyFont="1" applyFill="1" applyBorder="1" applyAlignment="1" applyProtection="1">
      <alignment horizontal="center" vertical="center" wrapText="1"/>
      <protection hidden="1"/>
    </xf>
    <xf numFmtId="0" fontId="22" fillId="5" borderId="1" xfId="0" applyFont="1" applyFill="1" applyBorder="1" applyAlignment="1" applyProtection="1">
      <alignment horizontal="center" vertical="center" wrapText="1"/>
      <protection hidden="1"/>
    </xf>
    <xf numFmtId="0" fontId="0" fillId="2" borderId="0" xfId="0" applyFill="1" applyAlignment="1" applyProtection="1">
      <alignment horizontal="left"/>
      <protection hidden="1"/>
    </xf>
    <xf numFmtId="0" fontId="0" fillId="2" borderId="0" xfId="0" applyFill="1" applyAlignment="1" applyProtection="1">
      <alignment horizontal="right"/>
      <protection hidden="1"/>
    </xf>
    <xf numFmtId="0" fontId="3" fillId="2" borderId="0" xfId="0" applyFont="1" applyFill="1" applyAlignment="1" applyProtection="1">
      <alignment horizontal="right" vertical="top" wrapText="1"/>
      <protection hidden="1"/>
    </xf>
    <xf numFmtId="0" fontId="19" fillId="0" borderId="0" xfId="0" applyFont="1" applyFill="1" applyBorder="1" applyAlignment="1">
      <alignment horizontal="center" vertical="center"/>
    </xf>
    <xf numFmtId="0" fontId="16" fillId="7" borderId="5" xfId="0" applyFont="1" applyFill="1" applyBorder="1" applyAlignment="1" applyProtection="1">
      <alignment horizontal="center" vertical="center"/>
      <protection hidden="1"/>
    </xf>
    <xf numFmtId="0" fontId="26" fillId="2" borderId="0" xfId="0" applyFont="1" applyFill="1" applyAlignment="1" applyProtection="1">
      <alignment vertical="center"/>
      <protection hidden="1"/>
    </xf>
    <xf numFmtId="0" fontId="27" fillId="2" borderId="0" xfId="0" applyFont="1" applyFill="1" applyAlignment="1" applyProtection="1">
      <alignment vertical="center"/>
      <protection hidden="1"/>
    </xf>
    <xf numFmtId="0" fontId="28" fillId="2" borderId="0" xfId="0" applyFont="1" applyFill="1" applyAlignment="1" applyProtection="1">
      <alignment horizontal="left" vertical="center"/>
      <protection hidden="1"/>
    </xf>
    <xf numFmtId="0" fontId="22" fillId="2" borderId="1" xfId="0" applyFont="1" applyFill="1" applyBorder="1" applyAlignment="1" applyProtection="1">
      <alignment horizontal="center" vertical="center"/>
      <protection hidden="1"/>
    </xf>
    <xf numFmtId="0" fontId="31" fillId="2" borderId="0" xfId="0" applyFont="1" applyFill="1" applyAlignment="1" applyProtection="1">
      <alignment vertical="center"/>
      <protection hidden="1"/>
    </xf>
    <xf numFmtId="179" fontId="32" fillId="2" borderId="0" xfId="2" applyNumberFormat="1" applyFont="1" applyFill="1" applyBorder="1" applyAlignment="1" applyProtection="1">
      <alignment horizontal="right" vertical="center"/>
      <protection hidden="1"/>
    </xf>
    <xf numFmtId="176" fontId="34" fillId="8" borderId="1" xfId="0" applyNumberFormat="1" applyFont="1" applyFill="1" applyBorder="1" applyAlignment="1" applyProtection="1">
      <alignment horizontal="center" vertical="center"/>
      <protection locked="0"/>
    </xf>
    <xf numFmtId="0" fontId="22" fillId="2" borderId="1" xfId="3" applyFont="1" applyFill="1" applyBorder="1" applyAlignment="1" applyProtection="1">
      <alignment horizontal="center" vertical="center"/>
      <protection hidden="1"/>
    </xf>
    <xf numFmtId="0" fontId="36" fillId="2" borderId="0" xfId="0" applyFont="1" applyFill="1" applyAlignment="1" applyProtection="1">
      <alignment vertical="center"/>
      <protection hidden="1"/>
    </xf>
    <xf numFmtId="0" fontId="37" fillId="2" borderId="0" xfId="0" applyFont="1" applyFill="1" applyAlignment="1" applyProtection="1">
      <alignment horizontal="right" vertical="center"/>
      <protection hidden="1"/>
    </xf>
    <xf numFmtId="176" fontId="18" fillId="2" borderId="1" xfId="0" applyNumberFormat="1" applyFont="1" applyFill="1" applyBorder="1" applyAlignment="1" applyProtection="1">
      <alignment horizontal="center" vertical="center"/>
      <protection hidden="1"/>
    </xf>
    <xf numFmtId="0" fontId="38" fillId="2" borderId="0" xfId="0" applyFont="1" applyFill="1" applyAlignment="1" applyProtection="1">
      <alignment vertical="center"/>
      <protection hidden="1"/>
    </xf>
    <xf numFmtId="0" fontId="37" fillId="2" borderId="0" xfId="0" applyFont="1" applyFill="1" applyAlignment="1" applyProtection="1">
      <alignment vertical="center"/>
      <protection hidden="1"/>
    </xf>
    <xf numFmtId="179" fontId="39" fillId="2" borderId="0" xfId="2" applyNumberFormat="1" applyFont="1" applyFill="1" applyBorder="1" applyAlignment="1" applyProtection="1">
      <alignment horizontal="right" vertical="center" wrapText="1"/>
      <protection hidden="1"/>
    </xf>
    <xf numFmtId="179" fontId="39" fillId="2" borderId="0" xfId="2" applyNumberFormat="1" applyFont="1" applyFill="1" applyBorder="1" applyAlignment="1" applyProtection="1">
      <alignment horizontal="right" vertical="center"/>
      <protection hidden="1"/>
    </xf>
    <xf numFmtId="176" fontId="10" fillId="9" borderId="1" xfId="0" applyNumberFormat="1" applyFont="1" applyFill="1" applyBorder="1" applyAlignment="1" applyProtection="1">
      <alignment horizontal="center" vertical="center"/>
      <protection hidden="1"/>
    </xf>
    <xf numFmtId="0" fontId="26" fillId="2" borderId="0" xfId="0" applyFont="1" applyFill="1" applyBorder="1" applyAlignment="1" applyProtection="1">
      <alignment vertical="center"/>
      <protection hidden="1"/>
    </xf>
    <xf numFmtId="176" fontId="11" fillId="2" borderId="1" xfId="0" applyNumberFormat="1" applyFont="1" applyFill="1" applyBorder="1" applyAlignment="1" applyProtection="1">
      <alignment horizontal="center" vertical="center"/>
      <protection hidden="1"/>
    </xf>
    <xf numFmtId="0" fontId="38" fillId="2" borderId="0" xfId="0" applyFont="1" applyFill="1" applyBorder="1" applyAlignment="1" applyProtection="1">
      <alignment vertical="center"/>
      <protection hidden="1"/>
    </xf>
    <xf numFmtId="0" fontId="40" fillId="2" borderId="1" xfId="4" applyFont="1" applyFill="1" applyBorder="1" applyAlignment="1" applyProtection="1">
      <alignment horizontal="center" vertical="center" wrapText="1"/>
      <protection hidden="1"/>
    </xf>
    <xf numFmtId="0" fontId="26" fillId="2" borderId="0" xfId="0" applyFont="1" applyFill="1" applyAlignment="1" applyProtection="1">
      <alignment horizontal="right" vertical="center"/>
      <protection hidden="1"/>
    </xf>
    <xf numFmtId="176" fontId="26" fillId="2" borderId="0" xfId="0" applyNumberFormat="1" applyFont="1" applyFill="1" applyBorder="1" applyAlignment="1" applyProtection="1">
      <alignment horizontal="left" vertical="center"/>
      <protection hidden="1"/>
    </xf>
    <xf numFmtId="0" fontId="41" fillId="2" borderId="1" xfId="4" applyFont="1" applyFill="1" applyBorder="1" applyAlignment="1" applyProtection="1">
      <alignment horizontal="center" vertical="center" wrapText="1"/>
      <protection hidden="1"/>
    </xf>
    <xf numFmtId="179" fontId="32" fillId="2" borderId="0" xfId="2" applyNumberFormat="1" applyFont="1" applyFill="1" applyBorder="1" applyAlignment="1" applyProtection="1">
      <alignment horizontal="right"/>
      <protection hidden="1"/>
    </xf>
    <xf numFmtId="0" fontId="26" fillId="2" borderId="1" xfId="0" applyFont="1" applyFill="1" applyBorder="1" applyAlignment="1" applyProtection="1">
      <alignment horizontal="center" vertical="center" wrapText="1"/>
      <protection hidden="1"/>
    </xf>
    <xf numFmtId="0" fontId="42" fillId="2" borderId="0" xfId="0" applyFont="1" applyFill="1" applyBorder="1" applyAlignment="1" applyProtection="1">
      <alignment vertical="top" wrapText="1"/>
      <protection hidden="1"/>
    </xf>
    <xf numFmtId="0" fontId="26" fillId="2" borderId="0" xfId="0" applyFont="1" applyFill="1" applyBorder="1" applyAlignment="1" applyProtection="1">
      <alignment horizontal="right" vertical="center"/>
      <protection hidden="1"/>
    </xf>
    <xf numFmtId="180" fontId="11" fillId="2" borderId="1" xfId="0" applyNumberFormat="1" applyFont="1" applyFill="1" applyBorder="1" applyAlignment="1" applyProtection="1">
      <alignment horizontal="center" vertical="center"/>
      <protection hidden="1"/>
    </xf>
    <xf numFmtId="0" fontId="42" fillId="2" borderId="0" xfId="0" applyFont="1" applyFill="1" applyAlignment="1" applyProtection="1">
      <alignment horizontal="center" vertical="center"/>
      <protection hidden="1"/>
    </xf>
    <xf numFmtId="0" fontId="28" fillId="2" borderId="17" xfId="0" applyFont="1" applyFill="1" applyBorder="1" applyAlignment="1" applyProtection="1">
      <alignment horizontal="left" vertical="center"/>
      <protection hidden="1"/>
    </xf>
    <xf numFmtId="0" fontId="26" fillId="2" borderId="17" xfId="0" applyFont="1" applyFill="1" applyBorder="1" applyAlignment="1" applyProtection="1">
      <alignment vertical="center"/>
      <protection hidden="1"/>
    </xf>
    <xf numFmtId="0" fontId="43" fillId="2" borderId="17" xfId="0" applyFont="1" applyFill="1" applyBorder="1" applyAlignment="1" applyProtection="1">
      <alignment horizontal="center" vertical="center"/>
      <protection hidden="1"/>
    </xf>
    <xf numFmtId="0" fontId="42" fillId="2" borderId="0" xfId="0" applyFont="1" applyFill="1" applyAlignment="1" applyProtection="1">
      <alignment horizontal="left" vertical="center"/>
      <protection hidden="1"/>
    </xf>
    <xf numFmtId="0" fontId="22" fillId="2" borderId="14" xfId="0" applyFont="1" applyFill="1" applyBorder="1" applyAlignment="1" applyProtection="1">
      <alignment horizontal="center" vertical="center"/>
      <protection hidden="1"/>
    </xf>
    <xf numFmtId="0" fontId="22" fillId="11" borderId="1" xfId="0" applyFont="1" applyFill="1" applyBorder="1" applyAlignment="1" applyProtection="1">
      <alignment horizontal="center" vertical="center"/>
      <protection hidden="1"/>
    </xf>
    <xf numFmtId="0" fontId="26" fillId="2" borderId="1" xfId="0" applyFont="1" applyFill="1" applyBorder="1" applyAlignment="1" applyProtection="1">
      <alignment horizontal="center" vertical="center"/>
      <protection hidden="1"/>
    </xf>
    <xf numFmtId="0" fontId="26" fillId="2" borderId="0" xfId="0" applyFont="1" applyFill="1" applyBorder="1" applyAlignment="1" applyProtection="1">
      <alignment horizontal="center" vertical="center" wrapText="1"/>
      <protection hidden="1"/>
    </xf>
    <xf numFmtId="179" fontId="32" fillId="2" borderId="0" xfId="2" applyNumberFormat="1" applyFont="1" applyFill="1" applyBorder="1" applyAlignment="1" applyProtection="1">
      <alignment horizontal="left"/>
      <protection hidden="1"/>
    </xf>
    <xf numFmtId="0" fontId="46" fillId="2" borderId="14" xfId="0" applyFont="1" applyFill="1" applyBorder="1" applyAlignment="1" applyProtection="1">
      <alignment horizontal="center" vertical="center"/>
      <protection hidden="1"/>
    </xf>
    <xf numFmtId="10" fontId="47" fillId="2" borderId="1" xfId="0" applyNumberFormat="1" applyFont="1" applyFill="1" applyBorder="1" applyAlignment="1" applyProtection="1">
      <alignment horizontal="center" vertical="center"/>
      <protection hidden="1"/>
    </xf>
    <xf numFmtId="10" fontId="39" fillId="2" borderId="1" xfId="0" applyNumberFormat="1" applyFont="1" applyFill="1" applyBorder="1" applyAlignment="1" applyProtection="1">
      <alignment horizontal="center" vertical="center"/>
      <protection hidden="1"/>
    </xf>
    <xf numFmtId="177" fontId="45" fillId="2" borderId="1" xfId="0" applyNumberFormat="1" applyFont="1" applyFill="1" applyBorder="1" applyAlignment="1" applyProtection="1">
      <alignment horizontal="center" vertical="center"/>
      <protection hidden="1"/>
    </xf>
    <xf numFmtId="0" fontId="37" fillId="2" borderId="0" xfId="0" applyFont="1" applyFill="1" applyBorder="1" applyAlignment="1" applyProtection="1">
      <alignment horizontal="right" vertical="center"/>
      <protection hidden="1"/>
    </xf>
    <xf numFmtId="0" fontId="51" fillId="2" borderId="0" xfId="0" applyFont="1" applyFill="1" applyAlignment="1" applyProtection="1">
      <alignment horizontal="right" vertical="center"/>
      <protection hidden="1"/>
    </xf>
    <xf numFmtId="0" fontId="51" fillId="2" borderId="0" xfId="0" applyFont="1" applyFill="1" applyAlignment="1" applyProtection="1">
      <alignment horizontal="center" vertical="center"/>
      <protection hidden="1"/>
    </xf>
    <xf numFmtId="0" fontId="53" fillId="2" borderId="0" xfId="0" applyFont="1" applyFill="1" applyAlignment="1" applyProtection="1">
      <alignment horizontal="center" vertical="center"/>
      <protection hidden="1"/>
    </xf>
    <xf numFmtId="177" fontId="39" fillId="2" borderId="0" xfId="0" applyNumberFormat="1" applyFont="1" applyFill="1" applyBorder="1" applyAlignment="1" applyProtection="1">
      <alignment horizontal="right" vertical="center"/>
      <protection hidden="1"/>
    </xf>
    <xf numFmtId="0" fontId="55" fillId="2" borderId="0" xfId="0" applyFont="1" applyFill="1" applyBorder="1" applyAlignment="1" applyProtection="1">
      <alignment horizontal="center" vertical="center" wrapText="1"/>
      <protection hidden="1"/>
    </xf>
    <xf numFmtId="0" fontId="56" fillId="2" borderId="0" xfId="0" applyFont="1" applyFill="1" applyBorder="1" applyAlignment="1" applyProtection="1">
      <alignment horizontal="right" vertical="center"/>
      <protection hidden="1"/>
    </xf>
    <xf numFmtId="177" fontId="42" fillId="2" borderId="0" xfId="0" applyNumberFormat="1" applyFont="1" applyFill="1" applyBorder="1" applyAlignment="1" applyProtection="1">
      <alignment horizontal="center" vertical="center"/>
      <protection hidden="1"/>
    </xf>
    <xf numFmtId="176" fontId="26" fillId="2" borderId="0" xfId="0" applyNumberFormat="1" applyFont="1" applyFill="1" applyAlignment="1" applyProtection="1">
      <alignment horizontal="left" vertical="center"/>
      <protection hidden="1"/>
    </xf>
    <xf numFmtId="0" fontId="26" fillId="2" borderId="0" xfId="0" applyFont="1" applyFill="1" applyAlignment="1" applyProtection="1">
      <alignment horizontal="left" vertical="center"/>
      <protection hidden="1"/>
    </xf>
    <xf numFmtId="0" fontId="26" fillId="2" borderId="5" xfId="0" applyFont="1" applyFill="1" applyBorder="1" applyAlignment="1" applyProtection="1">
      <alignment horizontal="center" vertical="center" wrapText="1"/>
      <protection hidden="1"/>
    </xf>
    <xf numFmtId="0" fontId="55" fillId="2" borderId="0" xfId="0" applyFont="1" applyFill="1" applyBorder="1" applyAlignment="1" applyProtection="1">
      <alignment horizontal="center" vertical="center"/>
      <protection hidden="1"/>
    </xf>
    <xf numFmtId="0" fontId="12" fillId="2" borderId="1" xfId="0" applyFont="1" applyFill="1" applyBorder="1" applyAlignment="1" applyProtection="1">
      <alignment horizontal="center" vertical="center"/>
      <protection hidden="1"/>
    </xf>
    <xf numFmtId="183" fontId="26" fillId="2" borderId="1" xfId="0" applyNumberFormat="1" applyFont="1" applyFill="1" applyBorder="1" applyAlignment="1" applyProtection="1">
      <alignment horizontal="center" vertical="center"/>
      <protection hidden="1"/>
    </xf>
    <xf numFmtId="0" fontId="20" fillId="0" borderId="1" xfId="0" applyFont="1" applyBorder="1" applyAlignment="1">
      <alignment vertical="center" wrapText="1"/>
    </xf>
    <xf numFmtId="0" fontId="0" fillId="0" borderId="1" xfId="0" applyFont="1" applyBorder="1" applyAlignment="1">
      <alignment vertical="center" wrapText="1"/>
    </xf>
    <xf numFmtId="9" fontId="34" fillId="8" borderId="1" xfId="5" applyFont="1" applyFill="1" applyBorder="1" applyAlignment="1" applyProtection="1">
      <alignment horizontal="center" vertical="center"/>
      <protection locked="0"/>
    </xf>
    <xf numFmtId="176" fontId="58" fillId="8" borderId="1" xfId="0" applyNumberFormat="1" applyFont="1" applyFill="1" applyBorder="1" applyAlignment="1" applyProtection="1">
      <alignment horizontal="center"/>
      <protection locked="0"/>
    </xf>
    <xf numFmtId="0" fontId="60" fillId="0" borderId="1" xfId="0" applyFont="1" applyBorder="1" applyAlignment="1">
      <alignment horizontal="center"/>
    </xf>
    <xf numFmtId="0" fontId="61" fillId="3" borderId="5" xfId="0" applyFont="1" applyFill="1" applyBorder="1" applyAlignment="1" applyProtection="1">
      <alignment vertical="center"/>
      <protection hidden="1"/>
    </xf>
    <xf numFmtId="0" fontId="61" fillId="3" borderId="1" xfId="0" applyFont="1" applyFill="1" applyBorder="1" applyAlignment="1" applyProtection="1">
      <alignment vertical="center"/>
      <protection hidden="1"/>
    </xf>
    <xf numFmtId="0" fontId="3" fillId="2" borderId="0" xfId="0" applyFont="1" applyFill="1" applyAlignment="1" applyProtection="1">
      <alignment horizontal="left" vertical="top" wrapText="1"/>
      <protection hidden="1"/>
    </xf>
    <xf numFmtId="176" fontId="56" fillId="2" borderId="0" xfId="0" applyNumberFormat="1" applyFont="1" applyFill="1" applyBorder="1" applyAlignment="1" applyProtection="1">
      <alignment horizontal="center" vertical="center"/>
      <protection hidden="1"/>
    </xf>
    <xf numFmtId="0" fontId="26" fillId="2" borderId="14" xfId="0" applyFont="1" applyFill="1" applyBorder="1" applyAlignment="1" applyProtection="1">
      <alignment horizontal="center" vertical="center"/>
      <protection hidden="1"/>
    </xf>
    <xf numFmtId="0" fontId="37" fillId="9" borderId="14" xfId="0" applyFont="1" applyFill="1" applyBorder="1" applyAlignment="1" applyProtection="1">
      <alignment horizontal="center" vertical="center"/>
      <protection hidden="1"/>
    </xf>
    <xf numFmtId="0" fontId="26" fillId="2" borderId="26" xfId="0" applyFont="1" applyFill="1" applyBorder="1" applyAlignment="1" applyProtection="1">
      <alignment horizontal="center" vertical="center"/>
      <protection hidden="1"/>
    </xf>
    <xf numFmtId="0" fontId="27" fillId="2" borderId="0" xfId="0" applyFont="1" applyFill="1" applyAlignment="1" applyProtection="1">
      <alignment horizontal="left" vertical="center"/>
      <protection hidden="1"/>
    </xf>
    <xf numFmtId="0" fontId="31" fillId="2" borderId="0" xfId="0" applyFont="1" applyFill="1" applyBorder="1" applyAlignment="1" applyProtection="1">
      <alignment vertical="center"/>
      <protection hidden="1"/>
    </xf>
    <xf numFmtId="0" fontId="5" fillId="13" borderId="33" xfId="0" applyFont="1" applyFill="1" applyBorder="1" applyAlignment="1" applyProtection="1">
      <alignment vertical="center"/>
      <protection hidden="1"/>
    </xf>
    <xf numFmtId="0" fontId="26" fillId="13" borderId="34" xfId="0" applyFont="1" applyFill="1" applyBorder="1" applyAlignment="1" applyProtection="1">
      <alignment vertical="center"/>
      <protection hidden="1"/>
    </xf>
    <xf numFmtId="0" fontId="26" fillId="2" borderId="0" xfId="0" applyFont="1" applyFill="1" applyAlignment="1" applyProtection="1">
      <alignment horizontal="center" vertical="center"/>
      <protection hidden="1"/>
    </xf>
    <xf numFmtId="0" fontId="17" fillId="2" borderId="0" xfId="1" applyFont="1" applyFill="1" applyAlignment="1" applyProtection="1">
      <alignment vertical="top"/>
      <protection hidden="1"/>
    </xf>
    <xf numFmtId="0" fontId="17" fillId="2" borderId="0" xfId="1" applyFont="1" applyFill="1" applyAlignment="1" applyProtection="1">
      <alignment vertical="center"/>
      <protection hidden="1"/>
    </xf>
    <xf numFmtId="0" fontId="17" fillId="3" borderId="0" xfId="1" applyFont="1" applyFill="1" applyAlignment="1" applyProtection="1">
      <alignment vertical="center"/>
      <protection hidden="1"/>
    </xf>
    <xf numFmtId="177" fontId="11" fillId="0" borderId="1" xfId="0" applyNumberFormat="1" applyFont="1" applyBorder="1" applyAlignment="1" applyProtection="1">
      <alignment horizontal="center" vertical="center"/>
      <protection hidden="1"/>
    </xf>
    <xf numFmtId="0" fontId="14" fillId="6" borderId="1" xfId="0" applyNumberFormat="1" applyFont="1" applyFill="1" applyBorder="1" applyAlignment="1" applyProtection="1">
      <alignment horizontal="center" vertical="center"/>
      <protection hidden="1"/>
    </xf>
    <xf numFmtId="0" fontId="18" fillId="0" borderId="1" xfId="0" applyFont="1" applyFill="1" applyBorder="1" applyAlignment="1" applyProtection="1">
      <alignment horizontal="left" vertical="center"/>
      <protection hidden="1"/>
    </xf>
    <xf numFmtId="0" fontId="23" fillId="0" borderId="1" xfId="0" applyFont="1" applyBorder="1" applyAlignment="1" applyProtection="1">
      <alignment vertical="center" wrapText="1"/>
      <protection hidden="1"/>
    </xf>
    <xf numFmtId="0" fontId="72" fillId="3" borderId="0" xfId="3" applyFont="1" applyFill="1" applyAlignment="1" applyProtection="1">
      <alignment vertical="center"/>
      <protection hidden="1"/>
    </xf>
    <xf numFmtId="0" fontId="26" fillId="3" borderId="0" xfId="3" applyFont="1" applyFill="1" applyAlignment="1" applyProtection="1">
      <alignment vertical="center"/>
      <protection hidden="1"/>
    </xf>
    <xf numFmtId="0" fontId="74" fillId="14" borderId="41" xfId="0" applyFont="1" applyFill="1" applyBorder="1" applyAlignment="1" applyProtection="1">
      <alignment horizontal="center" vertical="center"/>
      <protection hidden="1"/>
    </xf>
    <xf numFmtId="0" fontId="74" fillId="14" borderId="42" xfId="0" applyFont="1" applyFill="1" applyBorder="1" applyAlignment="1" applyProtection="1">
      <alignment horizontal="center" vertical="center"/>
      <protection hidden="1"/>
    </xf>
    <xf numFmtId="0" fontId="74" fillId="14" borderId="43" xfId="0" applyFont="1" applyFill="1" applyBorder="1" applyAlignment="1" applyProtection="1">
      <alignment horizontal="center" vertical="center"/>
      <protection hidden="1"/>
    </xf>
    <xf numFmtId="0" fontId="26" fillId="15" borderId="45" xfId="0" applyFont="1" applyFill="1" applyBorder="1" applyAlignment="1" applyProtection="1">
      <alignment horizontal="center" vertical="center" wrapText="1"/>
      <protection hidden="1"/>
    </xf>
    <xf numFmtId="0" fontId="26" fillId="15" borderId="1" xfId="0" applyFont="1" applyFill="1" applyBorder="1" applyAlignment="1" applyProtection="1">
      <alignment horizontal="center" vertical="center" wrapText="1"/>
      <protection hidden="1"/>
    </xf>
    <xf numFmtId="0" fontId="39" fillId="15" borderId="48" xfId="0" applyFont="1" applyFill="1" applyBorder="1" applyAlignment="1" applyProtection="1">
      <alignment horizontal="center" vertical="center"/>
      <protection hidden="1"/>
    </xf>
    <xf numFmtId="0" fontId="22" fillId="15" borderId="1" xfId="0" applyFont="1" applyFill="1" applyBorder="1" applyAlignment="1" applyProtection="1">
      <alignment horizontal="center" vertical="center" wrapText="1"/>
      <protection hidden="1"/>
    </xf>
    <xf numFmtId="0" fontId="37" fillId="15" borderId="1" xfId="0" applyFont="1" applyFill="1" applyBorder="1" applyAlignment="1" applyProtection="1">
      <alignment horizontal="center" vertical="center"/>
      <protection hidden="1"/>
    </xf>
    <xf numFmtId="0" fontId="12" fillId="16" borderId="1" xfId="3" applyFont="1" applyFill="1" applyBorder="1" applyAlignment="1" applyProtection="1">
      <alignment horizontal="center" vertical="center" wrapText="1"/>
      <protection hidden="1"/>
    </xf>
    <xf numFmtId="0" fontId="0" fillId="3" borderId="0" xfId="0" applyFill="1" applyProtection="1">
      <protection hidden="1"/>
    </xf>
    <xf numFmtId="0" fontId="22" fillId="15" borderId="50" xfId="0" applyFont="1" applyFill="1" applyBorder="1" applyAlignment="1" applyProtection="1">
      <alignment horizontal="center" vertical="center" wrapText="1"/>
      <protection hidden="1"/>
    </xf>
    <xf numFmtId="9" fontId="37" fillId="15" borderId="50" xfId="0" applyNumberFormat="1" applyFont="1" applyFill="1" applyBorder="1" applyAlignment="1" applyProtection="1">
      <alignment horizontal="center" vertical="center"/>
      <protection hidden="1"/>
    </xf>
    <xf numFmtId="0" fontId="37" fillId="15" borderId="50" xfId="0" applyFont="1" applyFill="1" applyBorder="1" applyAlignment="1" applyProtection="1">
      <alignment horizontal="center" vertical="center"/>
      <protection hidden="1"/>
    </xf>
    <xf numFmtId="0" fontId="26" fillId="16" borderId="2" xfId="0" applyFont="1" applyFill="1" applyBorder="1" applyAlignment="1" applyProtection="1">
      <alignment horizontal="center" vertical="center" wrapText="1"/>
      <protection hidden="1"/>
    </xf>
    <xf numFmtId="0" fontId="22" fillId="16" borderId="50" xfId="0" applyFont="1" applyFill="1" applyBorder="1" applyAlignment="1" applyProtection="1">
      <alignment horizontal="center" vertical="center" wrapText="1"/>
      <protection hidden="1"/>
    </xf>
    <xf numFmtId="0" fontId="22" fillId="15" borderId="45" xfId="0" applyFont="1" applyFill="1" applyBorder="1" applyAlignment="1" applyProtection="1">
      <alignment horizontal="center" vertical="center" wrapText="1"/>
      <protection hidden="1"/>
    </xf>
    <xf numFmtId="9" fontId="37" fillId="15" borderId="45" xfId="0" applyNumberFormat="1" applyFont="1" applyFill="1" applyBorder="1" applyAlignment="1" applyProtection="1">
      <alignment horizontal="center" vertical="center" wrapText="1"/>
      <protection hidden="1"/>
    </xf>
    <xf numFmtId="0" fontId="37" fillId="15" borderId="46" xfId="0" applyFont="1" applyFill="1" applyBorder="1" applyAlignment="1" applyProtection="1">
      <alignment horizontal="center" vertical="center" wrapText="1"/>
      <protection hidden="1"/>
    </xf>
    <xf numFmtId="0" fontId="22" fillId="15" borderId="5" xfId="0" applyFont="1" applyFill="1" applyBorder="1" applyAlignment="1" applyProtection="1">
      <alignment horizontal="center" vertical="center" wrapText="1"/>
      <protection hidden="1"/>
    </xf>
    <xf numFmtId="0" fontId="37" fillId="15" borderId="7" xfId="0" applyFont="1" applyFill="1" applyBorder="1" applyAlignment="1" applyProtection="1">
      <alignment horizontal="center" vertical="center" wrapText="1"/>
      <protection hidden="1"/>
    </xf>
    <xf numFmtId="0" fontId="37" fillId="15" borderId="5" xfId="0" applyFont="1" applyFill="1" applyBorder="1" applyAlignment="1" applyProtection="1">
      <alignment horizontal="center" vertical="center" wrapText="1"/>
      <protection hidden="1"/>
    </xf>
    <xf numFmtId="0" fontId="37" fillId="15" borderId="55" xfId="0" applyFont="1" applyFill="1" applyBorder="1" applyAlignment="1" applyProtection="1">
      <alignment horizontal="center" vertical="center" wrapText="1"/>
      <protection hidden="1"/>
    </xf>
    <xf numFmtId="0" fontId="22" fillId="16" borderId="45" xfId="3" applyFont="1" applyFill="1" applyBorder="1" applyAlignment="1" applyProtection="1">
      <alignment horizontal="center" vertical="center"/>
      <protection hidden="1"/>
    </xf>
    <xf numFmtId="0" fontId="22" fillId="16" borderId="50" xfId="3" applyFont="1" applyFill="1" applyBorder="1" applyAlignment="1" applyProtection="1">
      <alignment horizontal="center" vertical="center"/>
      <protection hidden="1"/>
    </xf>
    <xf numFmtId="0" fontId="36" fillId="3" borderId="0" xfId="3" applyFont="1" applyFill="1" applyAlignment="1" applyProtection="1">
      <alignment vertical="center"/>
      <protection hidden="1"/>
    </xf>
    <xf numFmtId="0" fontId="26" fillId="3" borderId="0" xfId="4" applyFont="1" applyFill="1" applyProtection="1">
      <protection hidden="1"/>
    </xf>
    <xf numFmtId="0" fontId="12" fillId="3" borderId="0" xfId="4" applyFont="1" applyFill="1" applyProtection="1">
      <protection hidden="1"/>
    </xf>
    <xf numFmtId="0" fontId="26" fillId="3" borderId="0" xfId="4" applyFont="1" applyFill="1" applyAlignment="1" applyProtection="1">
      <alignment horizontal="left"/>
      <protection hidden="1"/>
    </xf>
    <xf numFmtId="0" fontId="83" fillId="17" borderId="0" xfId="4" applyFont="1" applyFill="1" applyAlignment="1" applyProtection="1">
      <alignment vertical="center"/>
      <protection hidden="1"/>
    </xf>
    <xf numFmtId="0" fontId="74" fillId="17" borderId="0" xfId="4" applyFont="1" applyFill="1" applyAlignment="1" applyProtection="1">
      <alignment vertical="center"/>
      <protection hidden="1"/>
    </xf>
    <xf numFmtId="0" fontId="26" fillId="17" borderId="0" xfId="4" applyFont="1" applyFill="1" applyProtection="1">
      <protection hidden="1"/>
    </xf>
    <xf numFmtId="0" fontId="74" fillId="17" borderId="0" xfId="4" applyFont="1" applyFill="1" applyBorder="1" applyAlignment="1" applyProtection="1">
      <alignment horizontal="left" vertical="center"/>
      <protection hidden="1"/>
    </xf>
    <xf numFmtId="0" fontId="86" fillId="17" borderId="0" xfId="4" applyFont="1" applyFill="1" applyAlignment="1" applyProtection="1">
      <alignment vertical="center"/>
      <protection hidden="1"/>
    </xf>
    <xf numFmtId="0" fontId="13" fillId="15" borderId="58" xfId="4" applyFont="1" applyFill="1" applyBorder="1" applyAlignment="1" applyProtection="1">
      <alignment horizontal="center" vertical="center"/>
      <protection hidden="1"/>
    </xf>
    <xf numFmtId="0" fontId="41" fillId="15" borderId="33" xfId="4" applyFont="1" applyFill="1" applyBorder="1" applyAlignment="1" applyProtection="1">
      <alignment horizontal="center" vertical="center"/>
      <protection hidden="1"/>
    </xf>
    <xf numFmtId="0" fontId="46" fillId="3" borderId="0" xfId="4" applyFont="1" applyFill="1" applyBorder="1" applyAlignment="1" applyProtection="1">
      <alignment horizontal="center" vertical="center" wrapText="1"/>
      <protection hidden="1"/>
    </xf>
    <xf numFmtId="0" fontId="74" fillId="17" borderId="0" xfId="4" applyFont="1" applyFill="1" applyAlignment="1" applyProtection="1">
      <protection hidden="1"/>
    </xf>
    <xf numFmtId="0" fontId="26" fillId="3" borderId="0" xfId="4" applyFont="1" applyFill="1" applyAlignment="1" applyProtection="1">
      <alignment vertical="center"/>
      <protection hidden="1"/>
    </xf>
    <xf numFmtId="0" fontId="26" fillId="15" borderId="0" xfId="4" applyFont="1" applyFill="1" applyProtection="1">
      <protection hidden="1"/>
    </xf>
    <xf numFmtId="0" fontId="26" fillId="15" borderId="35" xfId="4" applyFont="1" applyFill="1" applyBorder="1" applyAlignment="1" applyProtection="1">
      <alignment horizontal="left" vertical="center"/>
      <protection hidden="1"/>
    </xf>
    <xf numFmtId="0" fontId="74" fillId="17" borderId="21" xfId="4" applyFont="1" applyFill="1" applyBorder="1" applyAlignment="1" applyProtection="1">
      <protection hidden="1"/>
    </xf>
    <xf numFmtId="0" fontId="83" fillId="17" borderId="25" xfId="4" applyFont="1" applyFill="1" applyBorder="1" applyAlignment="1" applyProtection="1">
      <protection hidden="1"/>
    </xf>
    <xf numFmtId="0" fontId="86" fillId="17" borderId="25" xfId="4" applyFont="1" applyFill="1" applyBorder="1" applyAlignment="1" applyProtection="1">
      <protection hidden="1"/>
    </xf>
    <xf numFmtId="0" fontId="26" fillId="17" borderId="18" xfId="4" applyFont="1" applyFill="1" applyBorder="1" applyProtection="1">
      <protection hidden="1"/>
    </xf>
    <xf numFmtId="0" fontId="76" fillId="3" borderId="0" xfId="0" applyFont="1" applyFill="1" applyBorder="1" applyAlignment="1" applyProtection="1">
      <alignment horizontal="center" vertical="center" wrapText="1"/>
      <protection hidden="1"/>
    </xf>
    <xf numFmtId="0" fontId="20" fillId="3" borderId="0" xfId="0" applyFont="1" applyFill="1" applyBorder="1" applyAlignment="1" applyProtection="1">
      <alignment horizontal="center" vertical="center" wrapText="1"/>
      <protection hidden="1"/>
    </xf>
    <xf numFmtId="0" fontId="12" fillId="3" borderId="0" xfId="0" applyFont="1" applyFill="1" applyAlignment="1" applyProtection="1">
      <protection hidden="1"/>
    </xf>
    <xf numFmtId="0" fontId="0" fillId="3" borderId="0" xfId="0" applyFill="1" applyAlignment="1" applyProtection="1">
      <alignment vertical="center"/>
      <protection hidden="1"/>
    </xf>
    <xf numFmtId="0" fontId="0" fillId="3" borderId="0" xfId="0" applyFill="1" applyAlignment="1" applyProtection="1">
      <alignment horizontal="center" vertical="center"/>
      <protection hidden="1"/>
    </xf>
    <xf numFmtId="0" fontId="77" fillId="3" borderId="0" xfId="0" applyFont="1" applyFill="1" applyBorder="1" applyAlignment="1" applyProtection="1">
      <alignment horizontal="center" vertical="center"/>
      <protection hidden="1"/>
    </xf>
    <xf numFmtId="0" fontId="19" fillId="3" borderId="0" xfId="0" applyFont="1" applyFill="1" applyBorder="1" applyAlignment="1" applyProtection="1">
      <alignment horizontal="center" vertical="center"/>
      <protection hidden="1"/>
    </xf>
    <xf numFmtId="0" fontId="77" fillId="3" borderId="0" xfId="0" applyFont="1" applyFill="1" applyBorder="1" applyAlignment="1" applyProtection="1">
      <alignment horizontal="center" vertical="center" wrapText="1"/>
      <protection hidden="1"/>
    </xf>
    <xf numFmtId="0" fontId="37" fillId="15" borderId="45" xfId="0" applyFont="1" applyFill="1" applyBorder="1" applyAlignment="1" applyProtection="1">
      <alignment horizontal="center" vertical="center"/>
      <protection hidden="1"/>
    </xf>
    <xf numFmtId="177" fontId="30" fillId="8" borderId="46" xfId="0" applyNumberFormat="1" applyFont="1" applyFill="1" applyBorder="1" applyAlignment="1" applyProtection="1">
      <alignment horizontal="center" vertical="center"/>
      <protection locked="0"/>
    </xf>
    <xf numFmtId="181" fontId="37" fillId="3" borderId="0" xfId="0" applyNumberFormat="1" applyFont="1" applyFill="1" applyAlignment="1" applyProtection="1">
      <alignment horizontal="center" vertical="center"/>
      <protection hidden="1"/>
    </xf>
    <xf numFmtId="177" fontId="30" fillId="8" borderId="48" xfId="0" applyNumberFormat="1" applyFont="1" applyFill="1" applyBorder="1" applyAlignment="1" applyProtection="1">
      <alignment horizontal="center" vertical="center"/>
      <protection locked="0"/>
    </xf>
    <xf numFmtId="181" fontId="37" fillId="3" borderId="0" xfId="0" applyNumberFormat="1" applyFont="1" applyFill="1" applyAlignment="1" applyProtection="1">
      <alignment horizontal="left" vertical="center"/>
      <protection hidden="1"/>
    </xf>
    <xf numFmtId="177" fontId="89" fillId="3" borderId="0" xfId="3" applyNumberFormat="1" applyFont="1" applyFill="1" applyAlignment="1" applyProtection="1">
      <alignment horizontal="left" vertical="center"/>
      <protection hidden="1"/>
    </xf>
    <xf numFmtId="177" fontId="10" fillId="3" borderId="51" xfId="0" applyNumberFormat="1" applyFont="1" applyFill="1" applyBorder="1" applyAlignment="1" applyProtection="1">
      <alignment horizontal="center" vertical="center"/>
      <protection hidden="1"/>
    </xf>
    <xf numFmtId="181" fontId="89" fillId="3" borderId="0" xfId="0" applyNumberFormat="1" applyFont="1" applyFill="1" applyAlignment="1" applyProtection="1">
      <alignment horizontal="right" vertical="center"/>
      <protection hidden="1"/>
    </xf>
    <xf numFmtId="177" fontId="89" fillId="3" borderId="0" xfId="0" applyNumberFormat="1" applyFont="1" applyFill="1" applyAlignment="1" applyProtection="1">
      <alignment horizontal="left" vertical="center"/>
      <protection hidden="1"/>
    </xf>
    <xf numFmtId="177" fontId="90" fillId="3" borderId="53" xfId="0" applyNumberFormat="1" applyFont="1" applyFill="1" applyBorder="1" applyAlignment="1" applyProtection="1">
      <alignment horizontal="center" vertical="center"/>
      <protection hidden="1"/>
    </xf>
    <xf numFmtId="9" fontId="90" fillId="3" borderId="0" xfId="0" applyNumberFormat="1" applyFont="1" applyFill="1" applyAlignment="1" applyProtection="1">
      <alignment horizontal="left" vertical="center"/>
      <protection hidden="1"/>
    </xf>
    <xf numFmtId="177" fontId="90" fillId="3" borderId="55" xfId="0" applyNumberFormat="1" applyFont="1" applyFill="1" applyBorder="1" applyAlignment="1" applyProtection="1">
      <alignment horizontal="center" vertical="center"/>
      <protection hidden="1"/>
    </xf>
    <xf numFmtId="177" fontId="12" fillId="16" borderId="43" xfId="0" applyNumberFormat="1" applyFont="1" applyFill="1" applyBorder="1" applyAlignment="1" applyProtection="1">
      <alignment horizontal="center" vertical="center"/>
      <protection hidden="1"/>
    </xf>
    <xf numFmtId="10" fontId="90" fillId="3" borderId="46" xfId="0" applyNumberFormat="1" applyFont="1" applyFill="1" applyBorder="1" applyAlignment="1" applyProtection="1">
      <alignment horizontal="center" vertical="center"/>
      <protection hidden="1"/>
    </xf>
    <xf numFmtId="0" fontId="92" fillId="3" borderId="0" xfId="3" applyFont="1" applyFill="1" applyAlignment="1" applyProtection="1">
      <alignment horizontal="right" vertical="center"/>
      <protection hidden="1"/>
    </xf>
    <xf numFmtId="10" fontId="26" fillId="2" borderId="0" xfId="0" applyNumberFormat="1" applyFont="1" applyFill="1" applyAlignment="1" applyProtection="1">
      <alignment horizontal="center" vertical="center"/>
      <protection hidden="1"/>
    </xf>
    <xf numFmtId="0" fontId="93" fillId="2" borderId="0" xfId="0" applyFont="1" applyFill="1" applyAlignment="1" applyProtection="1">
      <alignment horizontal="left" vertical="center"/>
      <protection hidden="1"/>
    </xf>
    <xf numFmtId="10" fontId="46" fillId="2" borderId="1" xfId="3" applyNumberFormat="1" applyFont="1" applyFill="1" applyBorder="1" applyAlignment="1" applyProtection="1">
      <alignment vertical="center"/>
      <protection hidden="1"/>
    </xf>
    <xf numFmtId="0" fontId="47" fillId="2" borderId="9" xfId="0" applyFont="1" applyFill="1" applyBorder="1" applyAlignment="1" applyProtection="1">
      <alignment vertical="center" wrapText="1"/>
      <protection hidden="1"/>
    </xf>
    <xf numFmtId="0" fontId="47" fillId="2" borderId="0" xfId="0" applyFont="1" applyFill="1" applyBorder="1" applyAlignment="1" applyProtection="1">
      <alignment vertical="center" wrapText="1"/>
      <protection hidden="1"/>
    </xf>
    <xf numFmtId="176" fontId="44" fillId="8" borderId="1" xfId="3" applyNumberFormat="1" applyFont="1" applyFill="1" applyBorder="1" applyAlignment="1" applyProtection="1">
      <alignment vertical="center"/>
      <protection locked="0"/>
    </xf>
    <xf numFmtId="0" fontId="47" fillId="2" borderId="9" xfId="0" applyFont="1" applyFill="1" applyBorder="1" applyAlignment="1" applyProtection="1">
      <alignment vertical="center"/>
      <protection hidden="1"/>
    </xf>
    <xf numFmtId="0" fontId="22" fillId="2" borderId="1" xfId="0" applyFont="1" applyFill="1" applyBorder="1" applyAlignment="1" applyProtection="1">
      <alignment horizontal="center" vertical="center" wrapText="1"/>
      <protection hidden="1"/>
    </xf>
    <xf numFmtId="179" fontId="22" fillId="2" borderId="1" xfId="0" applyNumberFormat="1" applyFont="1" applyFill="1" applyBorder="1" applyAlignment="1" applyProtection="1">
      <alignment horizontal="center" vertical="center" wrapText="1"/>
      <protection hidden="1"/>
    </xf>
    <xf numFmtId="176" fontId="22" fillId="2" borderId="1" xfId="0" applyNumberFormat="1" applyFont="1" applyFill="1" applyBorder="1" applyAlignment="1" applyProtection="1">
      <alignment vertical="center"/>
      <protection hidden="1"/>
    </xf>
    <xf numFmtId="177" fontId="65" fillId="2" borderId="0" xfId="0" applyNumberFormat="1" applyFont="1" applyFill="1" applyBorder="1" applyAlignment="1" applyProtection="1">
      <alignment horizontal="center" vertical="center" wrapText="1"/>
      <protection hidden="1"/>
    </xf>
    <xf numFmtId="10" fontId="26" fillId="2" borderId="1" xfId="0" applyNumberFormat="1" applyFont="1" applyFill="1" applyBorder="1" applyAlignment="1" applyProtection="1">
      <alignment vertical="center"/>
      <protection hidden="1"/>
    </xf>
    <xf numFmtId="0" fontId="94" fillId="2" borderId="0" xfId="3" applyFont="1" applyFill="1" applyBorder="1" applyAlignment="1" applyProtection="1">
      <alignment horizontal="left" vertical="center"/>
      <protection hidden="1"/>
    </xf>
    <xf numFmtId="0" fontId="12" fillId="2" borderId="0" xfId="0" applyFont="1" applyFill="1" applyBorder="1" applyAlignment="1" applyProtection="1">
      <alignment horizontal="center" vertical="center" wrapText="1"/>
      <protection hidden="1"/>
    </xf>
    <xf numFmtId="184" fontId="95" fillId="2" borderId="0" xfId="0" applyNumberFormat="1" applyFont="1" applyFill="1" applyAlignment="1" applyProtection="1">
      <alignment horizontal="left"/>
      <protection hidden="1"/>
    </xf>
    <xf numFmtId="0" fontId="26" fillId="2" borderId="0" xfId="0" applyFont="1" applyFill="1" applyAlignment="1" applyProtection="1">
      <protection hidden="1"/>
    </xf>
    <xf numFmtId="0" fontId="47" fillId="19" borderId="0" xfId="0" applyFont="1" applyFill="1" applyAlignment="1" applyProtection="1">
      <alignment horizontal="center" vertical="center"/>
      <protection hidden="1"/>
    </xf>
    <xf numFmtId="181" fontId="96" fillId="19" borderId="0" xfId="0" applyNumberFormat="1" applyFont="1" applyFill="1" applyBorder="1" applyAlignment="1" applyProtection="1">
      <alignment horizontal="center" vertical="center" wrapText="1"/>
      <protection hidden="1"/>
    </xf>
    <xf numFmtId="181" fontId="21" fillId="19" borderId="0" xfId="0" applyNumberFormat="1" applyFont="1" applyFill="1" applyBorder="1" applyAlignment="1" applyProtection="1">
      <alignment horizontal="center" vertical="center" wrapText="1"/>
      <protection hidden="1"/>
    </xf>
    <xf numFmtId="0" fontId="26" fillId="19" borderId="0" xfId="0" applyFont="1" applyFill="1" applyAlignment="1" applyProtection="1">
      <alignment vertical="center"/>
      <protection hidden="1"/>
    </xf>
    <xf numFmtId="0" fontId="26" fillId="19" borderId="0" xfId="0" applyFont="1" applyFill="1" applyAlignment="1" applyProtection="1">
      <alignment horizontal="center" vertical="center"/>
      <protection hidden="1"/>
    </xf>
    <xf numFmtId="10" fontId="26" fillId="19" borderId="0" xfId="0" applyNumberFormat="1" applyFont="1" applyFill="1" applyAlignment="1" applyProtection="1">
      <alignment horizontal="center" vertical="center"/>
      <protection hidden="1"/>
    </xf>
    <xf numFmtId="0" fontId="47" fillId="2" borderId="1" xfId="0" applyFont="1" applyFill="1" applyBorder="1" applyAlignment="1" applyProtection="1">
      <alignment horizontal="center" vertical="center" wrapText="1"/>
      <protection hidden="1"/>
    </xf>
    <xf numFmtId="176" fontId="97" fillId="8" borderId="1" xfId="0" applyNumberFormat="1" applyFont="1" applyFill="1" applyBorder="1" applyAlignment="1" applyProtection="1">
      <alignment horizontal="center" vertical="center"/>
      <protection locked="0"/>
    </xf>
    <xf numFmtId="0" fontId="47" fillId="2" borderId="0" xfId="0" applyFont="1" applyFill="1" applyAlignment="1" applyProtection="1">
      <alignment horizontal="center" vertical="center"/>
      <protection hidden="1"/>
    </xf>
    <xf numFmtId="181" fontId="47" fillId="2" borderId="0" xfId="0" applyNumberFormat="1" applyFont="1" applyFill="1" applyAlignment="1" applyProtection="1">
      <alignment horizontal="center" vertical="center"/>
      <protection hidden="1"/>
    </xf>
    <xf numFmtId="0" fontId="47" fillId="2" borderId="0" xfId="0" applyFont="1" applyFill="1" applyAlignment="1" applyProtection="1">
      <alignment vertical="center"/>
      <protection hidden="1"/>
    </xf>
    <xf numFmtId="177" fontId="30" fillId="2" borderId="0" xfId="3" applyNumberFormat="1" applyFont="1" applyFill="1" applyBorder="1" applyAlignment="1" applyProtection="1">
      <alignment horizontal="center" vertical="center"/>
      <protection hidden="1"/>
    </xf>
    <xf numFmtId="49" fontId="16" fillId="2" borderId="1" xfId="3" applyNumberFormat="1" applyFont="1" applyFill="1" applyBorder="1" applyAlignment="1" applyProtection="1">
      <alignment horizontal="center" vertical="center"/>
      <protection hidden="1"/>
    </xf>
    <xf numFmtId="181" fontId="16" fillId="2" borderId="1" xfId="3" applyNumberFormat="1" applyFont="1" applyFill="1" applyBorder="1" applyAlignment="1" applyProtection="1">
      <alignment vertical="center"/>
      <protection hidden="1"/>
    </xf>
    <xf numFmtId="10" fontId="30" fillId="2" borderId="0" xfId="3" applyNumberFormat="1" applyFont="1" applyFill="1" applyBorder="1" applyAlignment="1" applyProtection="1">
      <alignment horizontal="center" vertical="center"/>
      <protection hidden="1"/>
    </xf>
    <xf numFmtId="181" fontId="16" fillId="2" borderId="1" xfId="3" applyNumberFormat="1" applyFont="1" applyFill="1" applyBorder="1" applyAlignment="1" applyProtection="1">
      <alignment horizontal="right" vertical="center"/>
      <protection hidden="1"/>
    </xf>
    <xf numFmtId="177" fontId="21" fillId="2" borderId="0" xfId="2" applyNumberFormat="1" applyFont="1" applyFill="1" applyBorder="1" applyAlignment="1" applyProtection="1">
      <alignment horizontal="center" vertical="center"/>
      <protection hidden="1"/>
    </xf>
    <xf numFmtId="181" fontId="16" fillId="2" borderId="50" xfId="3" applyNumberFormat="1" applyFont="1" applyFill="1" applyBorder="1" applyAlignment="1" applyProtection="1">
      <alignment horizontal="right" vertical="center"/>
      <protection hidden="1"/>
    </xf>
    <xf numFmtId="181" fontId="21" fillId="2" borderId="0" xfId="0" applyNumberFormat="1" applyFont="1" applyFill="1" applyBorder="1" applyAlignment="1" applyProtection="1">
      <alignment horizontal="center" vertical="center" wrapText="1"/>
      <protection hidden="1"/>
    </xf>
    <xf numFmtId="181" fontId="16" fillId="2" borderId="0" xfId="3" applyNumberFormat="1" applyFont="1" applyFill="1" applyBorder="1" applyAlignment="1" applyProtection="1">
      <alignment vertical="center"/>
      <protection hidden="1"/>
    </xf>
    <xf numFmtId="49" fontId="16" fillId="2" borderId="5" xfId="3" applyNumberFormat="1" applyFont="1" applyFill="1" applyBorder="1" applyAlignment="1" applyProtection="1">
      <alignment horizontal="center" vertical="center"/>
      <protection hidden="1"/>
    </xf>
    <xf numFmtId="181" fontId="12" fillId="15" borderId="45" xfId="0" applyNumberFormat="1" applyFont="1" applyFill="1" applyBorder="1" applyAlignment="1" applyProtection="1">
      <alignment horizontal="center" vertical="center" wrapText="1"/>
      <protection hidden="1"/>
    </xf>
    <xf numFmtId="181" fontId="16" fillId="2" borderId="50" xfId="3" applyNumberFormat="1" applyFont="1" applyFill="1" applyBorder="1" applyAlignment="1" applyProtection="1">
      <alignment vertical="center"/>
      <protection hidden="1"/>
    </xf>
    <xf numFmtId="0" fontId="16" fillId="2" borderId="0" xfId="3" applyFont="1" applyFill="1" applyAlignment="1" applyProtection="1">
      <alignment vertical="center"/>
      <protection hidden="1"/>
    </xf>
    <xf numFmtId="181" fontId="16" fillId="2" borderId="0" xfId="3" applyNumberFormat="1" applyFont="1" applyFill="1" applyAlignment="1" applyProtection="1">
      <alignment horizontal="center" vertical="center"/>
      <protection hidden="1"/>
    </xf>
    <xf numFmtId="181" fontId="16" fillId="2" borderId="0" xfId="3" applyNumberFormat="1" applyFont="1" applyFill="1" applyAlignment="1" applyProtection="1">
      <alignment vertical="center"/>
      <protection hidden="1"/>
    </xf>
    <xf numFmtId="49" fontId="99" fillId="2" borderId="1" xfId="3" applyNumberFormat="1" applyFont="1" applyFill="1" applyBorder="1" applyAlignment="1" applyProtection="1">
      <alignment horizontal="center" vertical="center"/>
      <protection hidden="1"/>
    </xf>
    <xf numFmtId="0" fontId="99" fillId="2" borderId="1" xfId="3" applyFont="1" applyFill="1" applyBorder="1" applyAlignment="1" applyProtection="1">
      <alignment horizontal="center" vertical="center"/>
      <protection hidden="1"/>
    </xf>
    <xf numFmtId="0" fontId="47" fillId="2" borderId="0" xfId="0" applyFont="1" applyFill="1" applyAlignment="1" applyProtection="1">
      <alignment vertical="top" wrapText="1"/>
      <protection hidden="1"/>
    </xf>
    <xf numFmtId="181" fontId="27" fillId="2" borderId="0" xfId="0" applyNumberFormat="1" applyFont="1" applyFill="1" applyBorder="1" applyAlignment="1" applyProtection="1">
      <alignment horizontal="center" vertical="center" wrapText="1"/>
      <protection hidden="1"/>
    </xf>
    <xf numFmtId="0" fontId="0" fillId="0" borderId="0" xfId="0" applyAlignment="1">
      <alignment horizontal="center" vertical="center"/>
    </xf>
    <xf numFmtId="0" fontId="0" fillId="0" borderId="29" xfId="0" applyBorder="1" applyAlignment="1">
      <alignment horizontal="center" vertical="center"/>
    </xf>
    <xf numFmtId="0" fontId="0" fillId="13" borderId="0" xfId="0" applyFill="1" applyAlignment="1">
      <alignment horizontal="center" vertical="center"/>
    </xf>
    <xf numFmtId="0" fontId="0" fillId="0" borderId="29" xfId="0" applyBorder="1" applyAlignment="1">
      <alignment horizontal="center" vertical="center" wrapText="1"/>
    </xf>
    <xf numFmtId="0" fontId="0" fillId="7" borderId="29" xfId="0" applyFill="1" applyBorder="1" applyAlignment="1">
      <alignment horizontal="center" vertical="center"/>
    </xf>
    <xf numFmtId="10" fontId="0" fillId="0" borderId="29" xfId="5" applyNumberFormat="1" applyFont="1" applyBorder="1" applyAlignment="1">
      <alignment horizontal="center" vertical="center"/>
    </xf>
    <xf numFmtId="0" fontId="0" fillId="0" borderId="31" xfId="0" applyBorder="1" applyAlignment="1">
      <alignment horizontal="center" vertical="center"/>
    </xf>
    <xf numFmtId="0" fontId="0" fillId="0" borderId="0" xfId="0" applyFont="1" applyAlignment="1">
      <alignment vertical="center"/>
    </xf>
    <xf numFmtId="0" fontId="101" fillId="2" borderId="0" xfId="0" applyFont="1" applyFill="1" applyAlignment="1" applyProtection="1">
      <alignment horizontal="center" vertical="center"/>
      <protection hidden="1"/>
    </xf>
    <xf numFmtId="0" fontId="102" fillId="2" borderId="0" xfId="0" applyFont="1" applyFill="1" applyAlignment="1" applyProtection="1">
      <alignment vertical="center"/>
      <protection hidden="1"/>
    </xf>
    <xf numFmtId="0" fontId="102" fillId="2" borderId="0" xfId="0" applyFont="1" applyFill="1" applyAlignment="1" applyProtection="1">
      <alignment horizontal="left" vertical="center"/>
      <protection hidden="1"/>
    </xf>
    <xf numFmtId="0" fontId="10" fillId="18" borderId="29" xfId="0" applyFont="1" applyFill="1" applyBorder="1" applyAlignment="1" applyProtection="1">
      <alignment horizontal="center" vertical="center" wrapText="1"/>
      <protection hidden="1"/>
    </xf>
    <xf numFmtId="0" fontId="11" fillId="18" borderId="16" xfId="0" applyFont="1" applyFill="1" applyBorder="1" applyAlignment="1" applyProtection="1">
      <alignment horizontal="center" vertical="center" wrapText="1"/>
      <protection hidden="1"/>
    </xf>
    <xf numFmtId="0" fontId="10" fillId="18" borderId="92" xfId="0" applyFont="1" applyFill="1" applyBorder="1" applyAlignment="1" applyProtection="1">
      <alignment vertical="center" wrapText="1"/>
      <protection hidden="1"/>
    </xf>
    <xf numFmtId="0" fontId="12" fillId="2" borderId="86" xfId="0" applyFont="1" applyFill="1" applyBorder="1" applyAlignment="1" applyProtection="1">
      <alignment horizontal="center" vertical="center" wrapText="1"/>
      <protection hidden="1"/>
    </xf>
    <xf numFmtId="179" fontId="22" fillId="2" borderId="93" xfId="0" applyNumberFormat="1" applyFont="1" applyFill="1" applyBorder="1" applyAlignment="1" applyProtection="1">
      <alignment horizontal="center" vertical="center" wrapText="1"/>
      <protection hidden="1"/>
    </xf>
    <xf numFmtId="0" fontId="12" fillId="11" borderId="93" xfId="0" applyFont="1" applyFill="1" applyBorder="1" applyAlignment="1" applyProtection="1">
      <alignment horizontal="center" vertical="center"/>
      <protection hidden="1"/>
    </xf>
    <xf numFmtId="0" fontId="22" fillId="11" borderId="94" xfId="0" applyFont="1" applyFill="1" applyBorder="1" applyAlignment="1" applyProtection="1">
      <alignment horizontal="center" vertical="center" wrapText="1"/>
      <protection hidden="1"/>
    </xf>
    <xf numFmtId="181" fontId="12" fillId="2" borderId="93" xfId="0" applyNumberFormat="1" applyFont="1" applyFill="1" applyBorder="1" applyAlignment="1" applyProtection="1">
      <alignment horizontal="center" vertical="center" wrapText="1"/>
      <protection hidden="1"/>
    </xf>
    <xf numFmtId="0" fontId="26" fillId="2" borderId="95" xfId="0" applyFont="1" applyFill="1" applyBorder="1" applyAlignment="1" applyProtection="1">
      <alignment horizontal="center" vertical="center"/>
      <protection hidden="1"/>
    </xf>
    <xf numFmtId="0" fontId="26" fillId="2" borderId="96" xfId="0" applyFont="1" applyFill="1" applyBorder="1" applyAlignment="1" applyProtection="1">
      <alignment horizontal="center" vertical="center"/>
      <protection hidden="1"/>
    </xf>
    <xf numFmtId="49" fontId="16" fillId="2" borderId="97" xfId="3" applyNumberFormat="1" applyFont="1" applyFill="1" applyBorder="1" applyAlignment="1" applyProtection="1">
      <alignment horizontal="center" vertical="center"/>
      <protection hidden="1"/>
    </xf>
    <xf numFmtId="0" fontId="26" fillId="2" borderId="97" xfId="0" applyFont="1" applyFill="1" applyBorder="1" applyAlignment="1" applyProtection="1">
      <alignment horizontal="center" vertical="center"/>
      <protection hidden="1"/>
    </xf>
    <xf numFmtId="0" fontId="10" fillId="18" borderId="92" xfId="0" applyFont="1" applyFill="1" applyBorder="1" applyAlignment="1" applyProtection="1">
      <alignment horizontal="center" vertical="center" wrapText="1"/>
      <protection hidden="1"/>
    </xf>
    <xf numFmtId="0" fontId="99" fillId="2" borderId="97" xfId="3" applyFont="1" applyFill="1" applyBorder="1" applyAlignment="1" applyProtection="1">
      <alignment horizontal="center" vertical="center"/>
      <protection hidden="1"/>
    </xf>
    <xf numFmtId="0" fontId="93" fillId="2" borderId="0" xfId="0" applyFont="1" applyFill="1" applyAlignment="1" applyProtection="1">
      <alignment horizontal="left"/>
      <protection hidden="1"/>
    </xf>
    <xf numFmtId="49" fontId="12" fillId="2" borderId="4" xfId="3" applyNumberFormat="1" applyFont="1" applyFill="1" applyBorder="1" applyAlignment="1" applyProtection="1">
      <alignment horizontal="center" vertical="center"/>
      <protection hidden="1"/>
    </xf>
    <xf numFmtId="10" fontId="26" fillId="2" borderId="2" xfId="0" applyNumberFormat="1" applyFont="1" applyFill="1" applyBorder="1" applyAlignment="1" applyProtection="1">
      <alignment horizontal="center" vertical="center"/>
      <protection hidden="1"/>
    </xf>
    <xf numFmtId="0" fontId="12" fillId="2" borderId="29" xfId="0" applyFont="1" applyFill="1" applyBorder="1" applyAlignment="1" applyProtection="1">
      <alignment horizontal="center" vertical="center" wrapText="1"/>
      <protection hidden="1"/>
    </xf>
    <xf numFmtId="181" fontId="12" fillId="11" borderId="29" xfId="0" applyNumberFormat="1" applyFont="1" applyFill="1" applyBorder="1" applyAlignment="1" applyProtection="1">
      <alignment horizontal="center" vertical="center" wrapText="1"/>
      <protection hidden="1"/>
    </xf>
    <xf numFmtId="181" fontId="12" fillId="2" borderId="29" xfId="0" applyNumberFormat="1" applyFont="1" applyFill="1" applyBorder="1" applyAlignment="1" applyProtection="1">
      <alignment horizontal="center" vertical="center" wrapText="1"/>
      <protection hidden="1"/>
    </xf>
    <xf numFmtId="0" fontId="26" fillId="2" borderId="29" xfId="0" applyFont="1" applyFill="1" applyBorder="1" applyAlignment="1" applyProtection="1">
      <alignment horizontal="center" vertical="center"/>
      <protection hidden="1"/>
    </xf>
    <xf numFmtId="0" fontId="0" fillId="13" borderId="0" xfId="0" applyFont="1" applyFill="1" applyAlignment="1">
      <alignment horizontal="center" vertical="center"/>
    </xf>
    <xf numFmtId="10" fontId="32" fillId="2" borderId="0" xfId="5" applyNumberFormat="1" applyFont="1" applyFill="1" applyBorder="1" applyAlignment="1" applyProtection="1">
      <alignment horizontal="right" vertical="center"/>
      <protection hidden="1"/>
    </xf>
    <xf numFmtId="0" fontId="103" fillId="2" borderId="22" xfId="0" applyFont="1" applyFill="1" applyBorder="1" applyAlignment="1" applyProtection="1">
      <alignment horizontal="left"/>
      <protection hidden="1"/>
    </xf>
    <xf numFmtId="181" fontId="37" fillId="3" borderId="44" xfId="0" applyNumberFormat="1" applyFont="1" applyFill="1" applyBorder="1" applyAlignment="1" applyProtection="1">
      <alignment horizontal="center" vertical="center" wrapText="1"/>
      <protection hidden="1"/>
    </xf>
    <xf numFmtId="181" fontId="37" fillId="3" borderId="47" xfId="0" applyNumberFormat="1" applyFont="1" applyFill="1" applyBorder="1" applyAlignment="1" applyProtection="1">
      <alignment horizontal="center" vertical="center" wrapText="1"/>
      <protection hidden="1"/>
    </xf>
    <xf numFmtId="181" fontId="41" fillId="3" borderId="49" xfId="0" applyNumberFormat="1" applyFont="1" applyFill="1" applyBorder="1" applyAlignment="1" applyProtection="1">
      <alignment horizontal="center" vertical="center"/>
      <protection hidden="1"/>
    </xf>
    <xf numFmtId="181" fontId="90" fillId="3" borderId="52" xfId="0" applyNumberFormat="1" applyFont="1" applyFill="1" applyBorder="1" applyAlignment="1" applyProtection="1">
      <alignment horizontal="center" vertical="center"/>
      <protection hidden="1"/>
    </xf>
    <xf numFmtId="181" fontId="90" fillId="3" borderId="54" xfId="0" applyNumberFormat="1" applyFont="1" applyFill="1" applyBorder="1" applyAlignment="1" applyProtection="1">
      <alignment horizontal="center" vertical="center"/>
      <protection hidden="1"/>
    </xf>
    <xf numFmtId="181" fontId="41" fillId="3" borderId="41" xfId="0" applyNumberFormat="1" applyFont="1" applyFill="1" applyBorder="1" applyAlignment="1" applyProtection="1">
      <alignment horizontal="center" vertical="center"/>
      <protection hidden="1"/>
    </xf>
    <xf numFmtId="181" fontId="90" fillId="3" borderId="44" xfId="0" applyNumberFormat="1" applyFont="1" applyFill="1" applyBorder="1" applyAlignment="1" applyProtection="1">
      <alignment horizontal="center" vertical="center"/>
      <protection hidden="1"/>
    </xf>
    <xf numFmtId="0" fontId="89" fillId="3" borderId="0" xfId="3" applyFont="1" applyFill="1" applyAlignment="1" applyProtection="1">
      <alignment horizontal="right" vertical="center"/>
      <protection hidden="1"/>
    </xf>
    <xf numFmtId="9" fontId="37" fillId="15" borderId="1" xfId="0" applyNumberFormat="1" applyFont="1" applyFill="1" applyBorder="1" applyAlignment="1" applyProtection="1">
      <alignment horizontal="center" vertical="center"/>
      <protection hidden="1"/>
    </xf>
    <xf numFmtId="0" fontId="37" fillId="15" borderId="1" xfId="0" applyFont="1" applyFill="1" applyBorder="1" applyAlignment="1" applyProtection="1">
      <alignment horizontal="center" vertical="center"/>
      <protection hidden="1"/>
    </xf>
    <xf numFmtId="0" fontId="37" fillId="15" borderId="48" xfId="0" applyFont="1" applyFill="1" applyBorder="1" applyAlignment="1" applyProtection="1">
      <alignment horizontal="center" vertical="center"/>
      <protection hidden="1"/>
    </xf>
    <xf numFmtId="0" fontId="111" fillId="2" borderId="0" xfId="0" applyFont="1" applyFill="1" applyAlignment="1" applyProtection="1">
      <alignment vertical="center"/>
      <protection hidden="1"/>
    </xf>
    <xf numFmtId="0" fontId="11" fillId="3" borderId="0" xfId="0" applyFont="1" applyFill="1" applyAlignment="1" applyProtection="1">
      <alignment vertical="center" wrapText="1"/>
      <protection hidden="1"/>
    </xf>
    <xf numFmtId="176" fontId="26" fillId="9" borderId="0" xfId="0" applyNumberFormat="1" applyFont="1" applyFill="1" applyAlignment="1" applyProtection="1">
      <alignment horizontal="left" vertical="center"/>
      <protection hidden="1"/>
    </xf>
    <xf numFmtId="0" fontId="6" fillId="4" borderId="1" xfId="0" applyFont="1" applyFill="1" applyBorder="1" applyAlignment="1" applyProtection="1">
      <alignment horizontal="center" vertical="center" wrapText="1"/>
      <protection hidden="1"/>
    </xf>
    <xf numFmtId="0" fontId="59" fillId="12" borderId="102" xfId="0" applyFont="1" applyFill="1" applyBorder="1" applyAlignment="1" applyProtection="1">
      <alignment horizontal="center" vertical="center" wrapText="1"/>
      <protection hidden="1"/>
    </xf>
    <xf numFmtId="0" fontId="6" fillId="4" borderId="28" xfId="0" applyFont="1" applyFill="1" applyBorder="1" applyAlignment="1" applyProtection="1">
      <alignment horizontal="center" vertical="center" wrapText="1"/>
      <protection hidden="1"/>
    </xf>
    <xf numFmtId="0" fontId="6" fillId="4" borderId="100" xfId="0" applyFont="1" applyFill="1" applyBorder="1" applyAlignment="1" applyProtection="1">
      <alignment horizontal="center" vertical="center" wrapText="1"/>
      <protection hidden="1"/>
    </xf>
    <xf numFmtId="0" fontId="16" fillId="2" borderId="0" xfId="0" applyFont="1" applyFill="1" applyAlignment="1" applyProtection="1">
      <alignment vertical="center"/>
      <protection hidden="1"/>
    </xf>
    <xf numFmtId="0" fontId="111" fillId="2" borderId="0" xfId="0" applyFont="1" applyFill="1" applyBorder="1" applyAlignment="1" applyProtection="1">
      <alignment horizontal="center" vertical="center"/>
      <protection hidden="1"/>
    </xf>
    <xf numFmtId="186" fontId="10" fillId="11" borderId="2" xfId="3" applyNumberFormat="1" applyFont="1" applyFill="1" applyBorder="1" applyAlignment="1" applyProtection="1">
      <alignment horizontal="center" vertical="center"/>
      <protection hidden="1"/>
    </xf>
    <xf numFmtId="187" fontId="10" fillId="11" borderId="1" xfId="3" applyNumberFormat="1" applyFont="1" applyFill="1" applyBorder="1" applyAlignment="1" applyProtection="1">
      <alignment vertical="center"/>
      <protection hidden="1"/>
    </xf>
    <xf numFmtId="187" fontId="10" fillId="11" borderId="97" xfId="3" applyNumberFormat="1" applyFont="1" applyFill="1" applyBorder="1" applyAlignment="1" applyProtection="1">
      <alignment vertical="center"/>
      <protection hidden="1"/>
    </xf>
    <xf numFmtId="187" fontId="10" fillId="11" borderId="5" xfId="3" applyNumberFormat="1" applyFont="1" applyFill="1" applyBorder="1" applyAlignment="1" applyProtection="1">
      <alignment vertical="center"/>
      <protection hidden="1"/>
    </xf>
    <xf numFmtId="187" fontId="16" fillId="2" borderId="5" xfId="3" applyNumberFormat="1" applyFont="1" applyFill="1" applyBorder="1" applyAlignment="1" applyProtection="1">
      <alignment horizontal="center" vertical="center"/>
      <protection hidden="1"/>
    </xf>
    <xf numFmtId="187" fontId="10" fillId="11" borderId="97" xfId="0" applyNumberFormat="1" applyFont="1" applyFill="1" applyBorder="1" applyAlignment="1" applyProtection="1">
      <alignment vertical="center"/>
      <protection hidden="1"/>
    </xf>
    <xf numFmtId="187" fontId="10" fillId="11" borderId="97" xfId="3" applyNumberFormat="1" applyFont="1" applyFill="1" applyBorder="1" applyAlignment="1" applyProtection="1">
      <alignment horizontal="right" vertical="center"/>
      <protection hidden="1"/>
    </xf>
    <xf numFmtId="187" fontId="10" fillId="11" borderId="1" xfId="3" applyNumberFormat="1" applyFont="1" applyFill="1" applyBorder="1" applyAlignment="1" applyProtection="1">
      <alignment horizontal="right" vertical="center"/>
      <protection hidden="1"/>
    </xf>
    <xf numFmtId="0" fontId="12" fillId="11" borderId="93" xfId="0" applyFont="1" applyFill="1" applyBorder="1" applyAlignment="1" applyProtection="1">
      <alignment vertical="center"/>
      <protection hidden="1"/>
    </xf>
    <xf numFmtId="187" fontId="12" fillId="11" borderId="1" xfId="0" applyNumberFormat="1" applyFont="1" applyFill="1" applyBorder="1" applyAlignment="1" applyProtection="1">
      <alignment horizontal="center" vertical="center"/>
      <protection hidden="1"/>
    </xf>
    <xf numFmtId="187" fontId="21" fillId="11" borderId="1" xfId="0" applyNumberFormat="1" applyFont="1" applyFill="1" applyBorder="1" applyAlignment="1" applyProtection="1">
      <alignment horizontal="center" vertical="center"/>
      <protection hidden="1"/>
    </xf>
    <xf numFmtId="0" fontId="66" fillId="2" borderId="0" xfId="0" applyFont="1" applyFill="1" applyAlignment="1" applyProtection="1">
      <alignment horizontal="left" vertical="center"/>
      <protection hidden="1"/>
    </xf>
    <xf numFmtId="0" fontId="26" fillId="2" borderId="13" xfId="0" applyFont="1" applyFill="1" applyBorder="1" applyAlignment="1" applyProtection="1">
      <alignment horizontal="center" vertical="center"/>
      <protection hidden="1"/>
    </xf>
    <xf numFmtId="0" fontId="12" fillId="2" borderId="93" xfId="0" applyFont="1" applyFill="1" applyBorder="1" applyAlignment="1" applyProtection="1">
      <alignment horizontal="center" vertical="center" wrapText="1"/>
      <protection hidden="1"/>
    </xf>
    <xf numFmtId="0" fontId="12" fillId="2" borderId="87" xfId="0" applyFont="1" applyFill="1" applyBorder="1" applyAlignment="1" applyProtection="1">
      <alignment horizontal="center" vertical="center" wrapText="1"/>
      <protection hidden="1"/>
    </xf>
    <xf numFmtId="0" fontId="10" fillId="18" borderId="23" xfId="0" applyFont="1" applyFill="1" applyBorder="1" applyAlignment="1" applyProtection="1">
      <alignment horizontal="center" vertical="center" wrapText="1"/>
      <protection hidden="1"/>
    </xf>
    <xf numFmtId="10" fontId="16" fillId="2" borderId="90" xfId="0" applyNumberFormat="1" applyFont="1" applyFill="1" applyBorder="1" applyAlignment="1" applyProtection="1">
      <alignment horizontal="center" vertical="center"/>
      <protection hidden="1"/>
    </xf>
    <xf numFmtId="176" fontId="12" fillId="2" borderId="97" xfId="0" applyNumberFormat="1" applyFont="1" applyFill="1" applyBorder="1" applyAlignment="1" applyProtection="1">
      <alignment horizontal="center" vertical="center"/>
      <protection hidden="1"/>
    </xf>
    <xf numFmtId="187" fontId="16" fillId="2" borderId="1" xfId="3" applyNumberFormat="1" applyFont="1" applyFill="1" applyBorder="1" applyAlignment="1" applyProtection="1">
      <alignment horizontal="center" vertical="center"/>
      <protection hidden="1"/>
    </xf>
    <xf numFmtId="187" fontId="16" fillId="2" borderId="97" xfId="3" applyNumberFormat="1" applyFont="1" applyFill="1" applyBorder="1" applyAlignment="1" applyProtection="1">
      <alignment horizontal="center" vertical="center"/>
      <protection hidden="1"/>
    </xf>
    <xf numFmtId="10" fontId="26" fillId="2" borderId="1" xfId="0" applyNumberFormat="1" applyFont="1" applyFill="1" applyBorder="1" applyAlignment="1" applyProtection="1">
      <alignment horizontal="center" vertical="center"/>
      <protection hidden="1"/>
    </xf>
    <xf numFmtId="10" fontId="26" fillId="2" borderId="97" xfId="0" applyNumberFormat="1" applyFont="1" applyFill="1" applyBorder="1" applyAlignment="1" applyProtection="1">
      <alignment horizontal="center" vertical="center"/>
      <protection hidden="1"/>
    </xf>
    <xf numFmtId="176" fontId="21" fillId="2" borderId="97" xfId="3" applyNumberFormat="1" applyFont="1" applyFill="1" applyBorder="1" applyAlignment="1" applyProtection="1">
      <alignment horizontal="center" vertical="center"/>
      <protection hidden="1"/>
    </xf>
    <xf numFmtId="0" fontId="48" fillId="2" borderId="91" xfId="0" applyFont="1" applyFill="1" applyBorder="1" applyAlignment="1" applyProtection="1">
      <alignment horizontal="center" vertical="center" wrapText="1"/>
      <protection hidden="1"/>
    </xf>
    <xf numFmtId="177" fontId="5" fillId="11" borderId="97" xfId="3" applyNumberFormat="1" applyFont="1" applyFill="1" applyBorder="1" applyAlignment="1" applyProtection="1">
      <alignment horizontal="center" vertical="center"/>
      <protection hidden="1"/>
    </xf>
    <xf numFmtId="0" fontId="16" fillId="2" borderId="0" xfId="0" applyFont="1" applyFill="1" applyAlignment="1" applyProtection="1">
      <alignment horizontal="left" vertical="center"/>
      <protection hidden="1"/>
    </xf>
    <xf numFmtId="0" fontId="16" fillId="2" borderId="13" xfId="0" applyFont="1" applyFill="1" applyBorder="1" applyAlignment="1" applyProtection="1">
      <alignment horizontal="center" vertical="center"/>
      <protection hidden="1"/>
    </xf>
    <xf numFmtId="0" fontId="16" fillId="2" borderId="14" xfId="0" applyFont="1" applyFill="1" applyBorder="1" applyAlignment="1" applyProtection="1">
      <alignment horizontal="center" vertical="center"/>
      <protection hidden="1"/>
    </xf>
    <xf numFmtId="0" fontId="21" fillId="2" borderId="14" xfId="0" applyFont="1" applyFill="1" applyBorder="1" applyAlignment="1" applyProtection="1">
      <alignment horizontal="center" vertical="center"/>
      <protection hidden="1"/>
    </xf>
    <xf numFmtId="10" fontId="99" fillId="2" borderId="27" xfId="0" applyNumberFormat="1" applyFont="1" applyFill="1" applyBorder="1" applyAlignment="1" applyProtection="1">
      <alignment horizontal="center" vertical="center"/>
      <protection hidden="1"/>
    </xf>
    <xf numFmtId="10" fontId="99" fillId="2" borderId="14" xfId="0" applyNumberFormat="1" applyFont="1" applyFill="1" applyBorder="1" applyAlignment="1" applyProtection="1">
      <alignment horizontal="center" vertical="center"/>
      <protection hidden="1"/>
    </xf>
    <xf numFmtId="177" fontId="99" fillId="2" borderId="1" xfId="0" applyNumberFormat="1" applyFont="1" applyFill="1" applyBorder="1" applyAlignment="1" applyProtection="1">
      <alignment horizontal="center" vertical="center"/>
      <protection hidden="1"/>
    </xf>
    <xf numFmtId="0" fontId="12" fillId="2" borderId="14" xfId="0" applyFont="1" applyFill="1" applyBorder="1" applyAlignment="1" applyProtection="1">
      <alignment horizontal="center" vertical="center"/>
      <protection hidden="1"/>
    </xf>
    <xf numFmtId="10" fontId="99" fillId="2" borderId="28" xfId="0" applyNumberFormat="1" applyFont="1" applyFill="1" applyBorder="1" applyAlignment="1" applyProtection="1">
      <alignment horizontal="center" vertical="center"/>
      <protection hidden="1"/>
    </xf>
    <xf numFmtId="0" fontId="12" fillId="2" borderId="11" xfId="0" applyFont="1" applyFill="1" applyBorder="1" applyAlignment="1" applyProtection="1">
      <alignment horizontal="center" vertical="center"/>
      <protection hidden="1"/>
    </xf>
    <xf numFmtId="0" fontId="12" fillId="2" borderId="2" xfId="0" applyFont="1" applyFill="1" applyBorder="1" applyAlignment="1" applyProtection="1">
      <alignment horizontal="center" vertical="center"/>
      <protection hidden="1"/>
    </xf>
    <xf numFmtId="0" fontId="16" fillId="2" borderId="2" xfId="0" applyFont="1" applyFill="1" applyBorder="1" applyAlignment="1" applyProtection="1">
      <alignment horizontal="center" vertical="center"/>
      <protection hidden="1"/>
    </xf>
    <xf numFmtId="0" fontId="111" fillId="2" borderId="0" xfId="0" applyFont="1" applyFill="1" applyAlignment="1" applyProtection="1">
      <alignment horizontal="left" vertical="center"/>
      <protection hidden="1"/>
    </xf>
    <xf numFmtId="0" fontId="63" fillId="2" borderId="0" xfId="0" applyFont="1" applyFill="1" applyAlignment="1" applyProtection="1">
      <alignment vertical="center"/>
      <protection hidden="1"/>
    </xf>
    <xf numFmtId="180" fontId="12" fillId="2" borderId="1" xfId="0" applyNumberFormat="1" applyFont="1" applyFill="1" applyBorder="1" applyAlignment="1" applyProtection="1">
      <alignment horizontal="center" vertical="center"/>
      <protection hidden="1"/>
    </xf>
    <xf numFmtId="10" fontId="16" fillId="2" borderId="1" xfId="0" applyNumberFormat="1" applyFont="1" applyFill="1" applyBorder="1" applyAlignment="1" applyProtection="1">
      <alignment horizontal="center" vertical="center"/>
      <protection hidden="1"/>
    </xf>
    <xf numFmtId="0" fontId="12" fillId="11" borderId="1" xfId="0" applyFont="1" applyFill="1" applyBorder="1" applyAlignment="1" applyProtection="1">
      <alignment horizontal="center" vertical="center"/>
      <protection hidden="1"/>
    </xf>
    <xf numFmtId="0" fontId="16" fillId="2" borderId="26" xfId="0" applyFont="1" applyFill="1" applyBorder="1" applyAlignment="1" applyProtection="1">
      <alignment horizontal="center" vertical="center"/>
      <protection hidden="1"/>
    </xf>
    <xf numFmtId="0" fontId="16" fillId="2" borderId="1" xfId="0" applyFont="1" applyFill="1" applyBorder="1" applyAlignment="1" applyProtection="1">
      <alignment horizontal="center" vertical="center"/>
      <protection hidden="1"/>
    </xf>
    <xf numFmtId="0" fontId="16" fillId="21" borderId="1" xfId="0" applyFont="1" applyFill="1" applyBorder="1" applyAlignment="1" applyProtection="1">
      <alignment horizontal="center" vertical="center"/>
      <protection hidden="1"/>
    </xf>
    <xf numFmtId="0" fontId="16" fillId="9" borderId="1" xfId="0" applyFont="1" applyFill="1" applyBorder="1" applyAlignment="1" applyProtection="1">
      <alignment horizontal="center" vertical="center"/>
      <protection hidden="1"/>
    </xf>
    <xf numFmtId="0" fontId="16" fillId="9" borderId="14" xfId="0" applyFont="1" applyFill="1" applyBorder="1" applyAlignment="1" applyProtection="1">
      <alignment horizontal="center" vertical="center"/>
      <protection hidden="1"/>
    </xf>
    <xf numFmtId="177" fontId="99" fillId="21" borderId="1" xfId="0" applyNumberFormat="1" applyFont="1" applyFill="1" applyBorder="1" applyAlignment="1" applyProtection="1">
      <alignment horizontal="center" vertical="center"/>
      <protection hidden="1"/>
    </xf>
    <xf numFmtId="0" fontId="111" fillId="2" borderId="1" xfId="0" applyFont="1" applyFill="1" applyBorder="1" applyAlignment="1" applyProtection="1">
      <alignment horizontal="center" vertical="center"/>
      <protection hidden="1"/>
    </xf>
    <xf numFmtId="177" fontId="16" fillId="9" borderId="14" xfId="0" applyNumberFormat="1" applyFont="1" applyFill="1" applyBorder="1" applyAlignment="1" applyProtection="1">
      <alignment horizontal="center" vertical="center"/>
      <protection hidden="1"/>
    </xf>
    <xf numFmtId="0" fontId="111" fillId="2" borderId="0" xfId="0" applyFont="1" applyFill="1" applyBorder="1" applyAlignment="1" applyProtection="1">
      <alignment horizontal="left" vertical="center"/>
      <protection hidden="1"/>
    </xf>
    <xf numFmtId="177" fontId="99" fillId="9" borderId="1" xfId="0" applyNumberFormat="1" applyFont="1" applyFill="1" applyBorder="1" applyAlignment="1" applyProtection="1">
      <alignment horizontal="center" vertical="center"/>
      <protection hidden="1"/>
    </xf>
    <xf numFmtId="0" fontId="63" fillId="2" borderId="0" xfId="0" applyFont="1" applyFill="1" applyBorder="1" applyAlignment="1" applyProtection="1">
      <alignment vertical="center"/>
      <protection hidden="1"/>
    </xf>
    <xf numFmtId="0" fontId="12" fillId="2" borderId="9" xfId="0" applyFont="1" applyFill="1" applyBorder="1" applyAlignment="1" applyProtection="1">
      <alignment horizontal="center" vertical="center"/>
      <protection hidden="1"/>
    </xf>
    <xf numFmtId="176" fontId="111" fillId="2" borderId="0" xfId="0" applyNumberFormat="1" applyFont="1" applyFill="1" applyAlignment="1" applyProtection="1">
      <alignment horizontal="left" vertical="center"/>
      <protection hidden="1"/>
    </xf>
    <xf numFmtId="0" fontId="115" fillId="2" borderId="0" xfId="0" applyFont="1" applyFill="1" applyAlignment="1" applyProtection="1">
      <alignment horizontal="right" vertical="center"/>
      <protection hidden="1"/>
    </xf>
    <xf numFmtId="9" fontId="115" fillId="2" borderId="0" xfId="0" applyNumberFormat="1" applyFont="1" applyFill="1" applyAlignment="1" applyProtection="1">
      <alignment horizontal="left" vertical="center"/>
      <protection hidden="1"/>
    </xf>
    <xf numFmtId="0" fontId="16" fillId="9" borderId="0" xfId="0" applyFont="1" applyFill="1" applyBorder="1" applyAlignment="1" applyProtection="1">
      <alignment horizontal="left" vertical="center"/>
      <protection hidden="1"/>
    </xf>
    <xf numFmtId="0" fontId="16" fillId="9" borderId="0" xfId="0" applyFont="1" applyFill="1" applyBorder="1" applyAlignment="1" applyProtection="1">
      <alignment vertical="center"/>
      <protection hidden="1"/>
    </xf>
    <xf numFmtId="0" fontId="16" fillId="9" borderId="0" xfId="0" applyFont="1" applyFill="1" applyAlignment="1" applyProtection="1">
      <alignment vertical="center"/>
      <protection hidden="1"/>
    </xf>
    <xf numFmtId="0" fontId="12" fillId="11" borderId="5" xfId="0" applyFont="1" applyFill="1" applyBorder="1" applyAlignment="1" applyProtection="1">
      <alignment horizontal="center" vertical="center" wrapText="1"/>
      <protection hidden="1"/>
    </xf>
    <xf numFmtId="188" fontId="16" fillId="2" borderId="1" xfId="0" applyNumberFormat="1" applyFont="1" applyFill="1" applyBorder="1" applyAlignment="1" applyProtection="1">
      <alignment horizontal="center" vertical="center"/>
      <protection hidden="1"/>
    </xf>
    <xf numFmtId="10" fontId="99" fillId="2" borderId="1" xfId="0" applyNumberFormat="1" applyFont="1" applyFill="1" applyBorder="1" applyAlignment="1" applyProtection="1">
      <alignment horizontal="center" vertical="center"/>
      <protection hidden="1"/>
    </xf>
    <xf numFmtId="10" fontId="16" fillId="2" borderId="5" xfId="0" applyNumberFormat="1" applyFont="1" applyFill="1" applyBorder="1" applyAlignment="1" applyProtection="1">
      <alignment horizontal="center" vertical="center"/>
      <protection hidden="1"/>
    </xf>
    <xf numFmtId="0" fontId="16" fillId="2" borderId="0" xfId="0" applyFont="1" applyFill="1" applyBorder="1" applyAlignment="1" applyProtection="1">
      <alignment vertical="center"/>
      <protection hidden="1"/>
    </xf>
    <xf numFmtId="0" fontId="111" fillId="2" borderId="10" xfId="0" applyFont="1" applyFill="1" applyBorder="1" applyAlignment="1" applyProtection="1">
      <alignment vertical="center"/>
      <protection hidden="1"/>
    </xf>
    <xf numFmtId="0" fontId="16" fillId="2" borderId="10" xfId="0" applyFont="1" applyFill="1" applyBorder="1" applyAlignment="1" applyProtection="1">
      <alignment vertical="center"/>
      <protection hidden="1"/>
    </xf>
    <xf numFmtId="0" fontId="63" fillId="2" borderId="0" xfId="0" applyFont="1" applyFill="1" applyAlignment="1" applyProtection="1">
      <alignment horizontal="left" vertical="center"/>
      <protection hidden="1"/>
    </xf>
    <xf numFmtId="176" fontId="63" fillId="2" borderId="0" xfId="0" applyNumberFormat="1" applyFont="1" applyFill="1" applyAlignment="1" applyProtection="1">
      <alignment horizontal="left" vertical="center"/>
      <protection hidden="1"/>
    </xf>
    <xf numFmtId="0" fontId="31" fillId="2" borderId="0" xfId="0" applyFont="1" applyFill="1" applyAlignment="1" applyProtection="1">
      <alignment horizontal="right" vertical="center"/>
      <protection hidden="1"/>
    </xf>
    <xf numFmtId="176" fontId="31" fillId="2" borderId="0" xfId="0" applyNumberFormat="1" applyFont="1" applyFill="1" applyBorder="1" applyAlignment="1" applyProtection="1">
      <alignment horizontal="left" vertical="center"/>
      <protection hidden="1"/>
    </xf>
    <xf numFmtId="10" fontId="111" fillId="2" borderId="0" xfId="0" applyNumberFormat="1" applyFont="1" applyFill="1" applyAlignment="1" applyProtection="1">
      <alignment horizontal="left" vertical="center"/>
      <protection hidden="1"/>
    </xf>
    <xf numFmtId="9" fontId="60" fillId="0" borderId="0" xfId="0" applyNumberFormat="1" applyFont="1" applyAlignment="1">
      <alignment horizontal="center"/>
    </xf>
    <xf numFmtId="179" fontId="101" fillId="2" borderId="0" xfId="2" applyNumberFormat="1" applyFont="1" applyFill="1" applyBorder="1" applyAlignment="1" applyProtection="1">
      <alignment horizontal="right" vertical="center"/>
      <protection hidden="1"/>
    </xf>
    <xf numFmtId="179" fontId="56" fillId="2" borderId="0" xfId="2" applyNumberFormat="1" applyFont="1" applyFill="1" applyBorder="1" applyAlignment="1" applyProtection="1">
      <alignment horizontal="right" vertical="center"/>
      <protection hidden="1"/>
    </xf>
    <xf numFmtId="0" fontId="31" fillId="2" borderId="0" xfId="0" applyFont="1" applyFill="1" applyBorder="1" applyAlignment="1" applyProtection="1">
      <alignment horizontal="right" vertical="center"/>
      <protection hidden="1"/>
    </xf>
    <xf numFmtId="9" fontId="117" fillId="2" borderId="0" xfId="5" applyFont="1" applyFill="1" applyBorder="1" applyAlignment="1" applyProtection="1">
      <alignment horizontal="center" vertical="center"/>
      <protection locked="0"/>
    </xf>
    <xf numFmtId="176" fontId="117" fillId="2" borderId="0" xfId="0" applyNumberFormat="1" applyFont="1" applyFill="1" applyBorder="1" applyAlignment="1" applyProtection="1">
      <alignment horizontal="center" vertical="center"/>
      <protection locked="0"/>
    </xf>
    <xf numFmtId="176" fontId="116" fillId="2" borderId="0" xfId="0" applyNumberFormat="1" applyFont="1" applyFill="1" applyBorder="1" applyAlignment="1" applyProtection="1">
      <alignment horizontal="center" vertical="center"/>
      <protection hidden="1"/>
    </xf>
    <xf numFmtId="176" fontId="118" fillId="2" borderId="0" xfId="0" applyNumberFormat="1" applyFont="1" applyFill="1" applyBorder="1" applyAlignment="1" applyProtection="1">
      <alignment horizontal="center" vertical="center"/>
      <protection hidden="1"/>
    </xf>
    <xf numFmtId="0" fontId="56" fillId="2" borderId="0" xfId="0" applyFont="1" applyFill="1" applyBorder="1" applyAlignment="1" applyProtection="1">
      <alignment vertical="center"/>
      <protection hidden="1"/>
    </xf>
    <xf numFmtId="0" fontId="119" fillId="2" borderId="0" xfId="1" applyFont="1" applyFill="1" applyAlignment="1" applyProtection="1">
      <alignment horizontal="center" vertical="center"/>
      <protection locked="0"/>
    </xf>
    <xf numFmtId="0" fontId="16" fillId="2" borderId="13" xfId="0" applyFont="1" applyFill="1" applyBorder="1" applyAlignment="1" applyProtection="1">
      <alignment horizontal="center" vertical="center"/>
      <protection hidden="1"/>
    </xf>
    <xf numFmtId="0" fontId="16" fillId="2" borderId="14" xfId="0" applyFont="1" applyFill="1" applyBorder="1" applyAlignment="1" applyProtection="1">
      <alignment horizontal="center" vertical="center"/>
      <protection hidden="1"/>
    </xf>
    <xf numFmtId="0" fontId="120" fillId="2" borderId="0" xfId="1" applyFont="1" applyFill="1" applyAlignment="1" applyProtection="1">
      <alignment horizontal="center" vertical="center"/>
      <protection locked="0"/>
    </xf>
    <xf numFmtId="0" fontId="16" fillId="2" borderId="13" xfId="0" applyFont="1" applyFill="1" applyBorder="1" applyAlignment="1" applyProtection="1">
      <alignment horizontal="center" vertical="center"/>
      <protection hidden="1"/>
    </xf>
    <xf numFmtId="0" fontId="62" fillId="6" borderId="1" xfId="0" applyFont="1" applyFill="1" applyBorder="1" applyAlignment="1" applyProtection="1">
      <alignment horizontal="center" vertical="center"/>
      <protection hidden="1"/>
    </xf>
    <xf numFmtId="0" fontId="11" fillId="0" borderId="1" xfId="0" applyFont="1" applyFill="1" applyBorder="1" applyAlignment="1">
      <alignment horizontal="left" vertical="center"/>
    </xf>
    <xf numFmtId="0" fontId="11" fillId="0" borderId="1" xfId="0" applyFont="1" applyBorder="1" applyAlignment="1">
      <alignment vertical="center" wrapText="1"/>
    </xf>
    <xf numFmtId="10" fontId="16" fillId="2" borderId="1" xfId="5" applyNumberFormat="1" applyFont="1" applyFill="1" applyBorder="1" applyAlignment="1" applyProtection="1">
      <alignment horizontal="center" vertical="center"/>
      <protection hidden="1"/>
    </xf>
    <xf numFmtId="189" fontId="16" fillId="2" borderId="0" xfId="5" applyNumberFormat="1" applyFont="1" applyFill="1" applyAlignment="1" applyProtection="1">
      <alignment horizontal="left" vertical="center"/>
      <protection hidden="1"/>
    </xf>
    <xf numFmtId="182" fontId="31" fillId="2" borderId="1" xfId="0" applyNumberFormat="1" applyFont="1" applyFill="1" applyBorder="1" applyAlignment="1" applyProtection="1">
      <alignment horizontal="center" vertical="center"/>
      <protection hidden="1"/>
    </xf>
    <xf numFmtId="187" fontId="16" fillId="2" borderId="13" xfId="0" applyNumberFormat="1" applyFont="1" applyFill="1" applyBorder="1" applyAlignment="1" applyProtection="1">
      <alignment horizontal="center" vertical="center"/>
      <protection hidden="1"/>
    </xf>
    <xf numFmtId="187" fontId="99" fillId="2" borderId="13" xfId="0" applyNumberFormat="1" applyFont="1" applyFill="1" applyBorder="1" applyAlignment="1" applyProtection="1">
      <alignment horizontal="center" vertical="center"/>
      <protection hidden="1"/>
    </xf>
    <xf numFmtId="0" fontId="16" fillId="2" borderId="0" xfId="0" applyFont="1" applyFill="1" applyAlignment="1" applyProtection="1">
      <alignment horizontal="left" vertical="center"/>
      <protection hidden="1"/>
    </xf>
    <xf numFmtId="0" fontId="12" fillId="2" borderId="2" xfId="0" applyFont="1" applyFill="1" applyBorder="1" applyAlignment="1" applyProtection="1">
      <alignment horizontal="center" vertical="center" wrapText="1"/>
      <protection hidden="1"/>
    </xf>
    <xf numFmtId="0" fontId="111" fillId="2" borderId="9" xfId="0" applyFont="1" applyFill="1" applyBorder="1" applyAlignment="1" applyProtection="1">
      <alignment vertical="center" wrapText="1"/>
      <protection hidden="1"/>
    </xf>
    <xf numFmtId="0" fontId="111" fillId="2" borderId="0" xfId="0" applyFont="1" applyFill="1" applyBorder="1" applyAlignment="1" applyProtection="1">
      <alignment horizontal="right" vertical="center" wrapText="1"/>
      <protection hidden="1"/>
    </xf>
    <xf numFmtId="176" fontId="16" fillId="2" borderId="0" xfId="0" applyNumberFormat="1" applyFont="1" applyFill="1" applyAlignment="1" applyProtection="1">
      <alignment horizontal="left" vertical="center"/>
      <protection hidden="1"/>
    </xf>
    <xf numFmtId="177" fontId="21" fillId="2" borderId="14" xfId="0" applyNumberFormat="1" applyFont="1" applyFill="1" applyBorder="1" applyAlignment="1" applyProtection="1">
      <alignment horizontal="center" vertical="center"/>
      <protection hidden="1"/>
    </xf>
    <xf numFmtId="177" fontId="12" fillId="2" borderId="1" xfId="0" applyNumberFormat="1" applyFont="1" applyFill="1" applyBorder="1" applyAlignment="1" applyProtection="1">
      <alignment horizontal="center" vertical="center"/>
      <protection hidden="1"/>
    </xf>
    <xf numFmtId="0" fontId="111" fillId="2" borderId="9" xfId="0" applyFont="1" applyFill="1" applyBorder="1" applyAlignment="1" applyProtection="1">
      <alignment vertical="center"/>
      <protection hidden="1"/>
    </xf>
    <xf numFmtId="0" fontId="99" fillId="2" borderId="5" xfId="3" applyFont="1" applyFill="1" applyBorder="1" applyAlignment="1" applyProtection="1">
      <alignment horizontal="center" vertical="center"/>
      <protection hidden="1"/>
    </xf>
    <xf numFmtId="0" fontId="16" fillId="2" borderId="5" xfId="0" applyFont="1" applyFill="1" applyBorder="1" applyAlignment="1" applyProtection="1">
      <alignment horizontal="center" vertical="center" wrapText="1"/>
      <protection hidden="1"/>
    </xf>
    <xf numFmtId="176" fontId="12" fillId="11" borderId="1" xfId="0" applyNumberFormat="1" applyFont="1" applyFill="1" applyBorder="1" applyAlignment="1" applyProtection="1">
      <alignment horizontal="center" vertical="center"/>
      <protection hidden="1"/>
    </xf>
    <xf numFmtId="177" fontId="99" fillId="2" borderId="29" xfId="0" applyNumberFormat="1" applyFont="1" applyFill="1" applyBorder="1" applyAlignment="1" applyProtection="1">
      <alignment horizontal="center" vertical="center"/>
      <protection hidden="1"/>
    </xf>
    <xf numFmtId="0" fontId="123" fillId="2" borderId="0" xfId="0" applyFont="1" applyFill="1" applyBorder="1" applyAlignment="1">
      <alignment horizontal="left" vertical="center"/>
    </xf>
    <xf numFmtId="0" fontId="116" fillId="2" borderId="0" xfId="0" applyFont="1" applyFill="1" applyBorder="1" applyAlignment="1" applyProtection="1">
      <alignment vertical="center"/>
      <protection hidden="1"/>
    </xf>
    <xf numFmtId="0" fontId="31" fillId="2" borderId="32" xfId="0" applyFont="1" applyFill="1" applyBorder="1" applyAlignment="1" applyProtection="1">
      <alignment vertical="center"/>
      <protection hidden="1"/>
    </xf>
    <xf numFmtId="188" fontId="16" fillId="2" borderId="13" xfId="0" applyNumberFormat="1" applyFont="1" applyFill="1" applyBorder="1" applyAlignment="1" applyProtection="1">
      <alignment horizontal="center" vertical="center"/>
      <protection hidden="1"/>
    </xf>
    <xf numFmtId="188" fontId="99" fillId="2" borderId="13" xfId="0" applyNumberFormat="1" applyFont="1" applyFill="1" applyBorder="1" applyAlignment="1" applyProtection="1">
      <alignment horizontal="center" vertical="center"/>
      <protection hidden="1"/>
    </xf>
    <xf numFmtId="0" fontId="36" fillId="2" borderId="0" xfId="0" applyFont="1" applyFill="1" applyBorder="1" applyAlignment="1" applyProtection="1">
      <alignment vertical="center"/>
      <protection hidden="1"/>
    </xf>
    <xf numFmtId="0" fontId="42" fillId="2" borderId="0" xfId="0" applyNumberFormat="1" applyFont="1" applyFill="1" applyBorder="1" applyAlignment="1">
      <alignment horizontal="center" vertical="center" wrapText="1"/>
    </xf>
    <xf numFmtId="0" fontId="0" fillId="0" borderId="0" xfId="0" applyFont="1"/>
    <xf numFmtId="0" fontId="41" fillId="3" borderId="1" xfId="0" applyFont="1" applyFill="1" applyBorder="1" applyAlignment="1" applyProtection="1">
      <alignment horizontal="center" vertical="center"/>
      <protection hidden="1"/>
    </xf>
    <xf numFmtId="0" fontId="41" fillId="3" borderId="13" xfId="0" applyFont="1" applyFill="1" applyBorder="1" applyAlignment="1" applyProtection="1">
      <alignment horizontal="center" vertical="center"/>
      <protection hidden="1"/>
    </xf>
    <xf numFmtId="0" fontId="0" fillId="0" borderId="0" xfId="0" applyFont="1" applyFill="1"/>
    <xf numFmtId="0" fontId="22" fillId="2" borderId="1" xfId="3" applyFont="1" applyFill="1" applyBorder="1" applyAlignment="1" applyProtection="1">
      <alignment horizontal="center" vertical="center" wrapText="1"/>
      <protection hidden="1"/>
    </xf>
    <xf numFmtId="0" fontId="26" fillId="2" borderId="0" xfId="0" applyFont="1" applyFill="1" applyAlignment="1" applyProtection="1">
      <alignment vertical="center" wrapText="1"/>
      <protection hidden="1"/>
    </xf>
    <xf numFmtId="0" fontId="19" fillId="0" borderId="1" xfId="0" applyFont="1" applyBorder="1" applyAlignment="1">
      <alignment horizontal="center" vertical="center"/>
    </xf>
    <xf numFmtId="0" fontId="42" fillId="2" borderId="0" xfId="0" applyFont="1" applyFill="1" applyBorder="1" applyAlignment="1" applyProtection="1">
      <alignment horizontal="center" vertical="center"/>
      <protection hidden="1"/>
    </xf>
    <xf numFmtId="0" fontId="0" fillId="7" borderId="29" xfId="0" applyFill="1" applyBorder="1" applyAlignment="1">
      <alignment horizontal="center" vertical="center" wrapText="1"/>
    </xf>
    <xf numFmtId="0" fontId="40" fillId="2" borderId="0" xfId="4" applyFont="1" applyFill="1" applyBorder="1" applyAlignment="1" applyProtection="1">
      <alignment horizontal="center" vertical="center" wrapText="1"/>
      <protection hidden="1"/>
    </xf>
    <xf numFmtId="0" fontId="104" fillId="2" borderId="2" xfId="0" applyFont="1" applyFill="1" applyBorder="1" applyAlignment="1" applyProtection="1">
      <alignment horizontal="center" vertical="center" wrapText="1"/>
      <protection hidden="1"/>
    </xf>
    <xf numFmtId="0" fontId="0" fillId="7" borderId="29" xfId="0" applyFont="1" applyFill="1" applyBorder="1" applyAlignment="1">
      <alignment vertical="center"/>
    </xf>
    <xf numFmtId="0" fontId="0" fillId="7" borderId="0" xfId="0" applyFill="1" applyAlignment="1">
      <alignment horizontal="center" vertical="center"/>
    </xf>
    <xf numFmtId="0" fontId="10" fillId="0" borderId="106" xfId="0" applyFont="1" applyFill="1" applyBorder="1" applyAlignment="1" applyProtection="1">
      <alignment horizontal="right" vertical="center" wrapText="1"/>
      <protection hidden="1"/>
    </xf>
    <xf numFmtId="0" fontId="16" fillId="7" borderId="29" xfId="0" applyFont="1" applyFill="1" applyBorder="1" applyAlignment="1" applyProtection="1">
      <alignment horizontal="center" vertical="center"/>
      <protection hidden="1"/>
    </xf>
    <xf numFmtId="9" fontId="111" fillId="2" borderId="0" xfId="0" applyNumberFormat="1" applyFont="1" applyFill="1" applyAlignment="1" applyProtection="1">
      <alignment horizontal="left" vertical="center"/>
      <protection hidden="1"/>
    </xf>
    <xf numFmtId="179" fontId="32" fillId="2" borderId="0" xfId="2" applyNumberFormat="1" applyFont="1" applyFill="1" applyBorder="1" applyAlignment="1" applyProtection="1">
      <alignment horizontal="center"/>
      <protection hidden="1"/>
    </xf>
    <xf numFmtId="0" fontId="16" fillId="2" borderId="7" xfId="0" applyFont="1" applyFill="1" applyBorder="1" applyAlignment="1" applyProtection="1">
      <alignment horizontal="center" vertical="center"/>
      <protection hidden="1"/>
    </xf>
    <xf numFmtId="187" fontId="21" fillId="11" borderId="7" xfId="0" applyNumberFormat="1" applyFont="1" applyFill="1" applyBorder="1" applyAlignment="1" applyProtection="1">
      <alignment horizontal="center" vertical="center"/>
      <protection hidden="1"/>
    </xf>
    <xf numFmtId="10" fontId="99" fillId="2" borderId="8" xfId="0" applyNumberFormat="1" applyFont="1" applyFill="1" applyBorder="1" applyAlignment="1" applyProtection="1">
      <alignment horizontal="center" vertical="center"/>
      <protection hidden="1"/>
    </xf>
    <xf numFmtId="10" fontId="26" fillId="2" borderId="1" xfId="5" applyNumberFormat="1" applyFont="1" applyFill="1" applyBorder="1" applyAlignment="1" applyProtection="1">
      <alignment horizontal="center" vertical="center"/>
      <protection hidden="1"/>
    </xf>
    <xf numFmtId="0" fontId="12" fillId="2" borderId="104" xfId="0" applyFont="1" applyFill="1" applyBorder="1" applyAlignment="1" applyProtection="1">
      <alignment horizontal="center" vertical="center"/>
      <protection hidden="1"/>
    </xf>
    <xf numFmtId="0" fontId="12" fillId="2" borderId="108" xfId="0" applyFont="1" applyFill="1" applyBorder="1" applyAlignment="1" applyProtection="1">
      <alignment horizontal="center" vertical="center"/>
      <protection hidden="1"/>
    </xf>
    <xf numFmtId="0" fontId="16" fillId="2" borderId="109" xfId="0" applyFont="1" applyFill="1" applyBorder="1" applyAlignment="1" applyProtection="1">
      <alignment horizontal="center" vertical="center"/>
      <protection hidden="1"/>
    </xf>
    <xf numFmtId="0" fontId="125" fillId="2" borderId="1" xfId="0" applyFont="1" applyFill="1" applyBorder="1" applyAlignment="1" applyProtection="1">
      <alignment horizontal="center" vertical="center" wrapText="1"/>
      <protection hidden="1"/>
    </xf>
    <xf numFmtId="9" fontId="26" fillId="2" borderId="0" xfId="5" applyFont="1" applyFill="1" applyAlignment="1" applyProtection="1">
      <alignment vertical="center"/>
      <protection hidden="1"/>
    </xf>
    <xf numFmtId="0" fontId="10" fillId="0" borderId="103" xfId="0" applyFont="1" applyFill="1" applyBorder="1" applyAlignment="1" applyProtection="1">
      <alignment horizontal="right" vertical="center" wrapText="1"/>
      <protection hidden="1"/>
    </xf>
    <xf numFmtId="10" fontId="26" fillId="2" borderId="1" xfId="0" applyNumberFormat="1" applyFont="1" applyFill="1" applyBorder="1" applyAlignment="1" applyProtection="1">
      <alignment horizontal="center" vertical="center"/>
      <protection hidden="1"/>
    </xf>
    <xf numFmtId="10" fontId="26" fillId="2" borderId="97" xfId="0" applyNumberFormat="1" applyFont="1" applyFill="1" applyBorder="1" applyAlignment="1" applyProtection="1">
      <alignment horizontal="center" vertical="center"/>
      <protection hidden="1"/>
    </xf>
    <xf numFmtId="0" fontId="26" fillId="2" borderId="105" xfId="0" applyFont="1" applyFill="1" applyBorder="1" applyAlignment="1" applyProtection="1">
      <alignment horizontal="center" vertical="center"/>
      <protection hidden="1"/>
    </xf>
    <xf numFmtId="190" fontId="16" fillId="2" borderId="2" xfId="3" applyNumberFormat="1" applyFont="1" applyFill="1" applyBorder="1" applyAlignment="1" applyProtection="1">
      <alignment horizontal="center" vertical="center"/>
      <protection hidden="1"/>
    </xf>
    <xf numFmtId="177" fontId="99" fillId="2" borderId="1" xfId="0" applyNumberFormat="1" applyFont="1" applyFill="1" applyBorder="1" applyAlignment="1" applyProtection="1">
      <alignment horizontal="center" vertical="center"/>
      <protection hidden="1"/>
    </xf>
    <xf numFmtId="0" fontId="11" fillId="3" borderId="1" xfId="0" applyFont="1" applyFill="1" applyBorder="1" applyAlignment="1" applyProtection="1">
      <alignment horizontal="left" vertical="center"/>
      <protection hidden="1"/>
    </xf>
    <xf numFmtId="0" fontId="16" fillId="3" borderId="0" xfId="0" applyFont="1" applyFill="1" applyAlignment="1" applyProtection="1">
      <alignment vertical="center" wrapText="1"/>
      <protection hidden="1"/>
    </xf>
    <xf numFmtId="0" fontId="19" fillId="21" borderId="1" xfId="0" applyFont="1" applyFill="1" applyBorder="1" applyAlignment="1">
      <alignment horizontal="center" vertical="center"/>
    </xf>
    <xf numFmtId="0" fontId="20" fillId="21" borderId="1" xfId="0" applyFont="1" applyFill="1" applyBorder="1" applyAlignment="1">
      <alignment vertical="center" wrapText="1"/>
    </xf>
    <xf numFmtId="0" fontId="0" fillId="21" borderId="0" xfId="0" applyFont="1" applyFill="1"/>
    <xf numFmtId="0" fontId="19" fillId="21" borderId="14" xfId="0" applyFont="1" applyFill="1" applyBorder="1" applyAlignment="1">
      <alignment horizontal="center" vertical="center"/>
    </xf>
    <xf numFmtId="0" fontId="111" fillId="2" borderId="32" xfId="0" applyFont="1" applyFill="1" applyBorder="1" applyAlignment="1" applyProtection="1">
      <alignment horizontal="left" vertical="center"/>
      <protection hidden="1"/>
    </xf>
    <xf numFmtId="0" fontId="16" fillId="2" borderId="1" xfId="0" applyFont="1" applyFill="1" applyBorder="1" applyAlignment="1" applyProtection="1">
      <alignment vertical="center"/>
      <protection hidden="1"/>
    </xf>
    <xf numFmtId="0" fontId="26" fillId="2" borderId="1" xfId="0" applyFont="1" applyFill="1" applyBorder="1" applyAlignment="1" applyProtection="1">
      <alignment vertical="center"/>
      <protection hidden="1"/>
    </xf>
    <xf numFmtId="0" fontId="21" fillId="2" borderId="1" xfId="0" applyFont="1" applyFill="1" applyBorder="1" applyAlignment="1" applyProtection="1">
      <alignment horizontal="center" vertical="center"/>
      <protection hidden="1"/>
    </xf>
    <xf numFmtId="177" fontId="16" fillId="9" borderId="1" xfId="0" applyNumberFormat="1" applyFont="1" applyFill="1" applyBorder="1" applyAlignment="1" applyProtection="1">
      <alignment horizontal="center" vertical="center"/>
      <protection hidden="1"/>
    </xf>
    <xf numFmtId="0" fontId="6" fillId="4" borderId="30" xfId="0" applyFont="1" applyFill="1" applyBorder="1" applyAlignment="1" applyProtection="1">
      <alignment horizontal="center" vertical="center" wrapText="1"/>
      <protection hidden="1"/>
    </xf>
    <xf numFmtId="177" fontId="99" fillId="2" borderId="1" xfId="0" applyNumberFormat="1" applyFont="1" applyFill="1" applyBorder="1" applyAlignment="1" applyProtection="1">
      <alignment horizontal="center" vertical="center"/>
      <protection hidden="1"/>
    </xf>
    <xf numFmtId="0" fontId="19" fillId="6" borderId="11" xfId="0" applyFont="1" applyFill="1" applyBorder="1" applyAlignment="1">
      <alignment horizontal="center" vertical="center"/>
    </xf>
    <xf numFmtId="10" fontId="0" fillId="0" borderId="0" xfId="5" applyNumberFormat="1" applyFont="1" applyAlignment="1"/>
    <xf numFmtId="10" fontId="0" fillId="0" borderId="0" xfId="0" applyNumberFormat="1" applyFont="1"/>
    <xf numFmtId="176" fontId="48" fillId="2" borderId="0" xfId="0" applyNumberFormat="1" applyFont="1" applyFill="1" applyBorder="1" applyAlignment="1" applyProtection="1">
      <alignment vertical="center"/>
      <protection hidden="1"/>
    </xf>
    <xf numFmtId="176" fontId="12" fillId="2" borderId="2" xfId="0" applyNumberFormat="1" applyFont="1" applyFill="1" applyBorder="1" applyAlignment="1" applyProtection="1">
      <alignment horizontal="center" vertical="center"/>
      <protection hidden="1"/>
    </xf>
    <xf numFmtId="10" fontId="16" fillId="2" borderId="2" xfId="5" applyNumberFormat="1" applyFont="1" applyFill="1" applyBorder="1" applyAlignment="1" applyProtection="1">
      <alignment horizontal="center" vertical="center"/>
      <protection hidden="1"/>
    </xf>
    <xf numFmtId="176" fontId="10" fillId="2" borderId="1" xfId="0" applyNumberFormat="1" applyFont="1" applyFill="1" applyBorder="1" applyAlignment="1" applyProtection="1">
      <alignment horizontal="center" vertical="center"/>
      <protection hidden="1"/>
    </xf>
    <xf numFmtId="0" fontId="111" fillId="2" borderId="0" xfId="0" applyFont="1" applyFill="1" applyBorder="1" applyAlignment="1" applyProtection="1">
      <alignment vertical="center"/>
      <protection hidden="1"/>
    </xf>
    <xf numFmtId="0" fontId="16" fillId="2" borderId="13" xfId="0" applyFont="1" applyFill="1" applyBorder="1" applyAlignment="1" applyProtection="1">
      <alignment vertical="center"/>
      <protection hidden="1"/>
    </xf>
    <xf numFmtId="0" fontId="12" fillId="2" borderId="112" xfId="0" applyFont="1" applyFill="1" applyBorder="1" applyAlignment="1" applyProtection="1">
      <alignment horizontal="center" vertical="center"/>
      <protection hidden="1"/>
    </xf>
    <xf numFmtId="0" fontId="126" fillId="2" borderId="0" xfId="0" applyFont="1" applyFill="1" applyProtection="1">
      <protection hidden="1"/>
    </xf>
    <xf numFmtId="0" fontId="38" fillId="2" borderId="0" xfId="0" applyFont="1" applyFill="1" applyBorder="1" applyAlignment="1" applyProtection="1">
      <alignment vertical="center" wrapText="1"/>
      <protection hidden="1"/>
    </xf>
    <xf numFmtId="0" fontId="128" fillId="2" borderId="0" xfId="0" applyFont="1" applyFill="1" applyBorder="1" applyAlignment="1" applyProtection="1">
      <alignment horizontal="right" vertical="center"/>
      <protection hidden="1"/>
    </xf>
    <xf numFmtId="0" fontId="107" fillId="0" borderId="101" xfId="1" applyFont="1" applyFill="1" applyBorder="1" applyAlignment="1" applyProtection="1">
      <alignment horizontal="center" vertical="center"/>
      <protection locked="0"/>
    </xf>
    <xf numFmtId="0" fontId="11" fillId="0" borderId="29" xfId="0" applyFont="1" applyFill="1" applyBorder="1" applyAlignment="1" applyProtection="1">
      <alignment horizontal="center" vertical="center"/>
      <protection hidden="1"/>
    </xf>
    <xf numFmtId="0" fontId="11" fillId="0" borderId="92" xfId="0" applyFont="1" applyFill="1" applyBorder="1" applyAlignment="1" applyProtection="1">
      <alignment horizontal="center" vertical="center"/>
      <protection hidden="1"/>
    </xf>
    <xf numFmtId="177" fontId="16" fillId="9" borderId="15" xfId="0" applyNumberFormat="1" applyFont="1" applyFill="1" applyBorder="1" applyAlignment="1" applyProtection="1">
      <alignment horizontal="center" vertical="center"/>
      <protection hidden="1"/>
    </xf>
    <xf numFmtId="177" fontId="37" fillId="2" borderId="15" xfId="0" applyNumberFormat="1" applyFont="1" applyFill="1" applyBorder="1" applyAlignment="1" applyProtection="1">
      <alignment horizontal="center" vertical="center"/>
      <protection hidden="1"/>
    </xf>
    <xf numFmtId="0" fontId="26" fillId="2" borderId="5" xfId="0" applyFont="1" applyFill="1" applyBorder="1" applyAlignment="1" applyProtection="1">
      <alignment horizontal="center" vertical="center"/>
      <protection hidden="1"/>
    </xf>
    <xf numFmtId="0" fontId="22" fillId="5" borderId="2" xfId="0" applyFont="1" applyFill="1" applyBorder="1" applyAlignment="1" applyProtection="1">
      <alignment horizontal="center" vertical="center" wrapText="1"/>
      <protection hidden="1"/>
    </xf>
    <xf numFmtId="0" fontId="0" fillId="0" borderId="7" xfId="0" applyFont="1" applyFill="1" applyBorder="1" applyAlignment="1">
      <alignment vertical="center" wrapText="1"/>
    </xf>
    <xf numFmtId="0" fontId="0" fillId="21" borderId="8" xfId="0" applyFont="1" applyFill="1" applyBorder="1" applyAlignment="1">
      <alignment vertical="center"/>
    </xf>
    <xf numFmtId="190" fontId="16" fillId="2" borderId="13" xfId="0" applyNumberFormat="1" applyFont="1" applyFill="1" applyBorder="1" applyAlignment="1" applyProtection="1">
      <alignment horizontal="center" vertical="center"/>
      <protection hidden="1"/>
    </xf>
    <xf numFmtId="177" fontId="99" fillId="2" borderId="30" xfId="0" applyNumberFormat="1" applyFont="1" applyFill="1" applyBorder="1" applyAlignment="1" applyProtection="1">
      <alignment horizontal="center" vertical="center"/>
      <protection hidden="1"/>
    </xf>
    <xf numFmtId="177" fontId="26" fillId="2" borderId="1" xfId="0" applyNumberFormat="1" applyFont="1" applyFill="1" applyBorder="1" applyAlignment="1" applyProtection="1">
      <alignment horizontal="center" vertical="center"/>
      <protection hidden="1"/>
    </xf>
    <xf numFmtId="0" fontId="129" fillId="2" borderId="0" xfId="0" applyFont="1" applyFill="1" applyBorder="1" applyAlignment="1" applyProtection="1">
      <alignment vertical="center" wrapText="1"/>
      <protection hidden="1"/>
    </xf>
    <xf numFmtId="190" fontId="16" fillId="2" borderId="1" xfId="3" applyNumberFormat="1" applyFont="1" applyFill="1" applyBorder="1" applyAlignment="1" applyProtection="1">
      <alignment horizontal="center" vertical="center"/>
      <protection hidden="1"/>
    </xf>
    <xf numFmtId="190" fontId="16" fillId="2" borderId="97" xfId="3" applyNumberFormat="1" applyFont="1" applyFill="1" applyBorder="1" applyAlignment="1" applyProtection="1">
      <alignment horizontal="center" vertical="center"/>
      <protection hidden="1"/>
    </xf>
    <xf numFmtId="187" fontId="10" fillId="11" borderId="1" xfId="3" applyNumberFormat="1" applyFont="1" applyFill="1" applyBorder="1" applyAlignment="1" applyProtection="1">
      <alignment horizontal="center" vertical="center"/>
      <protection hidden="1"/>
    </xf>
    <xf numFmtId="187" fontId="10" fillId="11" borderId="97" xfId="3" applyNumberFormat="1" applyFont="1" applyFill="1" applyBorder="1" applyAlignment="1" applyProtection="1">
      <alignment horizontal="center" vertical="center"/>
      <protection hidden="1"/>
    </xf>
    <xf numFmtId="10" fontId="99" fillId="2" borderId="5" xfId="0" applyNumberFormat="1" applyFont="1" applyFill="1" applyBorder="1" applyAlignment="1" applyProtection="1">
      <alignment horizontal="center" vertical="center"/>
      <protection hidden="1"/>
    </xf>
    <xf numFmtId="0" fontId="16" fillId="23" borderId="1" xfId="0" applyFont="1" applyFill="1" applyBorder="1" applyAlignment="1" applyProtection="1">
      <alignment horizontal="center" vertical="center"/>
      <protection hidden="1"/>
    </xf>
    <xf numFmtId="10" fontId="99" fillId="2" borderId="1" xfId="5" applyNumberFormat="1" applyFont="1" applyFill="1" applyBorder="1" applyAlignment="1" applyProtection="1">
      <alignment horizontal="center" vertical="center"/>
      <protection hidden="1"/>
    </xf>
    <xf numFmtId="0" fontId="26" fillId="23" borderId="1" xfId="0" applyFont="1" applyFill="1" applyBorder="1" applyAlignment="1" applyProtection="1">
      <alignment horizontal="center" vertical="center"/>
      <protection hidden="1"/>
    </xf>
    <xf numFmtId="0" fontId="46" fillId="3" borderId="0" xfId="3" applyFont="1" applyFill="1" applyAlignment="1" applyProtection="1">
      <protection hidden="1"/>
    </xf>
    <xf numFmtId="0" fontId="25" fillId="3" borderId="0" xfId="3" applyFill="1" applyProtection="1">
      <protection hidden="1"/>
    </xf>
    <xf numFmtId="0" fontId="19" fillId="3" borderId="0" xfId="3" applyFont="1" applyFill="1" applyBorder="1" applyAlignment="1" applyProtection="1">
      <alignment vertical="center"/>
      <protection hidden="1"/>
    </xf>
    <xf numFmtId="0" fontId="76" fillId="3" borderId="0" xfId="3" applyFont="1" applyFill="1" applyBorder="1" applyAlignment="1" applyProtection="1">
      <alignment vertical="center" wrapText="1"/>
      <protection hidden="1"/>
    </xf>
    <xf numFmtId="0" fontId="76" fillId="3" borderId="0" xfId="3" applyFont="1" applyFill="1" applyBorder="1" applyAlignment="1" applyProtection="1">
      <alignment vertical="center"/>
      <protection hidden="1"/>
    </xf>
    <xf numFmtId="0" fontId="87" fillId="15" borderId="42" xfId="3" applyFont="1" applyFill="1" applyBorder="1" applyAlignment="1" applyProtection="1">
      <alignment horizontal="center" vertical="center" wrapText="1"/>
      <protection hidden="1"/>
    </xf>
    <xf numFmtId="0" fontId="87" fillId="15" borderId="43" xfId="3" applyFont="1" applyFill="1" applyBorder="1" applyAlignment="1" applyProtection="1">
      <alignment horizontal="center" vertical="center" wrapText="1"/>
      <protection hidden="1"/>
    </xf>
    <xf numFmtId="0" fontId="41" fillId="15" borderId="63" xfId="3" applyFont="1" applyFill="1" applyBorder="1" applyAlignment="1" applyProtection="1">
      <alignment horizontal="center" vertical="center" wrapText="1" readingOrder="1"/>
      <protection hidden="1"/>
    </xf>
    <xf numFmtId="0" fontId="41" fillId="15" borderId="64" xfId="3" applyFont="1" applyFill="1" applyBorder="1" applyAlignment="1" applyProtection="1">
      <alignment horizontal="center" vertical="center" wrapText="1" readingOrder="1"/>
      <protection hidden="1"/>
    </xf>
    <xf numFmtId="0" fontId="41" fillId="15" borderId="67" xfId="3" applyFont="1" applyFill="1" applyBorder="1" applyAlignment="1" applyProtection="1">
      <alignment horizontal="center" vertical="center" wrapText="1" readingOrder="1"/>
      <protection hidden="1"/>
    </xf>
    <xf numFmtId="0" fontId="79" fillId="15" borderId="70" xfId="3" applyFont="1" applyFill="1" applyBorder="1" applyAlignment="1" applyProtection="1">
      <alignment horizontal="center" vertical="center" wrapText="1" readingOrder="1"/>
      <protection hidden="1"/>
    </xf>
    <xf numFmtId="0" fontId="79" fillId="15" borderId="72" xfId="3" applyFont="1" applyFill="1" applyBorder="1" applyAlignment="1" applyProtection="1">
      <alignment horizontal="center" vertical="center" wrapText="1" readingOrder="1"/>
      <protection hidden="1"/>
    </xf>
    <xf numFmtId="0" fontId="79" fillId="15" borderId="77" xfId="3" applyFont="1" applyFill="1" applyBorder="1" applyAlignment="1" applyProtection="1">
      <alignment horizontal="center" vertical="center" wrapText="1" readingOrder="1"/>
      <protection hidden="1"/>
    </xf>
    <xf numFmtId="0" fontId="79" fillId="15" borderId="51" xfId="3" applyFont="1" applyFill="1" applyBorder="1" applyAlignment="1" applyProtection="1">
      <alignment horizontal="center" vertical="center" wrapText="1" readingOrder="1"/>
      <protection hidden="1"/>
    </xf>
    <xf numFmtId="0" fontId="73" fillId="16" borderId="38" xfId="3" applyFont="1" applyFill="1" applyBorder="1" applyAlignment="1" applyProtection="1">
      <alignment horizontal="center" vertical="center" wrapText="1" readingOrder="1"/>
      <protection hidden="1"/>
    </xf>
    <xf numFmtId="0" fontId="79" fillId="16" borderId="59" xfId="3" applyFont="1" applyFill="1" applyBorder="1" applyAlignment="1" applyProtection="1">
      <alignment horizontal="center" vertical="center" wrapText="1" readingOrder="1"/>
      <protection hidden="1"/>
    </xf>
    <xf numFmtId="0" fontId="79" fillId="16" borderId="59" xfId="3" applyFont="1" applyFill="1" applyBorder="1" applyAlignment="1" applyProtection="1">
      <alignment vertical="center" wrapText="1" readingOrder="1"/>
      <protection hidden="1"/>
    </xf>
    <xf numFmtId="0" fontId="79" fillId="16" borderId="60" xfId="3" applyFont="1" applyFill="1" applyBorder="1" applyAlignment="1" applyProtection="1">
      <alignment horizontal="center" vertical="center" wrapText="1" readingOrder="1"/>
      <protection hidden="1"/>
    </xf>
    <xf numFmtId="0" fontId="26" fillId="15" borderId="0" xfId="4" applyFont="1" applyFill="1" applyBorder="1" applyAlignment="1" applyProtection="1">
      <alignment vertical="center"/>
      <protection hidden="1"/>
    </xf>
    <xf numFmtId="0" fontId="29" fillId="15" borderId="0" xfId="4" applyFont="1" applyFill="1" applyBorder="1" applyAlignment="1" applyProtection="1">
      <alignment wrapText="1"/>
      <protection hidden="1"/>
    </xf>
    <xf numFmtId="0" fontId="12" fillId="3" borderId="0" xfId="3" applyFont="1" applyFill="1" applyAlignment="1" applyProtection="1">
      <protection hidden="1"/>
    </xf>
    <xf numFmtId="0" fontId="74" fillId="14" borderId="1" xfId="3" applyFont="1" applyFill="1" applyBorder="1" applyAlignment="1" applyProtection="1">
      <alignment horizontal="center" vertical="center" wrapText="1" readingOrder="1"/>
      <protection hidden="1"/>
    </xf>
    <xf numFmtId="0" fontId="74" fillId="14" borderId="13" xfId="3" applyFont="1" applyFill="1" applyBorder="1" applyAlignment="1" applyProtection="1">
      <alignment horizontal="center" vertical="center" wrapText="1" readingOrder="1"/>
      <protection hidden="1"/>
    </xf>
    <xf numFmtId="181" fontId="37" fillId="3" borderId="0" xfId="3" applyNumberFormat="1" applyFont="1" applyFill="1" applyAlignment="1" applyProtection="1">
      <alignment horizontal="center" vertical="center"/>
      <protection hidden="1"/>
    </xf>
    <xf numFmtId="181" fontId="89" fillId="3" borderId="0" xfId="3" applyNumberFormat="1" applyFont="1" applyFill="1" applyAlignment="1" applyProtection="1">
      <alignment horizontal="right" vertical="center"/>
      <protection hidden="1"/>
    </xf>
    <xf numFmtId="9" fontId="90" fillId="3" borderId="0" xfId="3" applyNumberFormat="1" applyFont="1" applyFill="1" applyAlignment="1" applyProtection="1">
      <alignment horizontal="left" vertical="center"/>
      <protection hidden="1"/>
    </xf>
    <xf numFmtId="10" fontId="0" fillId="0" borderId="0" xfId="5" applyNumberFormat="1" applyFont="1" applyFill="1" applyAlignment="1"/>
    <xf numFmtId="0" fontId="10" fillId="3" borderId="29" xfId="0" applyFont="1" applyFill="1" applyBorder="1" applyAlignment="1" applyProtection="1">
      <alignment horizontal="center" vertical="center" wrapText="1"/>
      <protection hidden="1"/>
    </xf>
    <xf numFmtId="8" fontId="26" fillId="2" borderId="0" xfId="0" applyNumberFormat="1" applyFont="1" applyFill="1" applyAlignment="1" applyProtection="1">
      <alignment vertical="center"/>
      <protection hidden="1"/>
    </xf>
    <xf numFmtId="0" fontId="16" fillId="9" borderId="1" xfId="0" applyFont="1" applyFill="1" applyBorder="1" applyAlignment="1" applyProtection="1">
      <alignment horizontal="center" vertical="center" wrapText="1"/>
      <protection hidden="1"/>
    </xf>
    <xf numFmtId="195" fontId="26" fillId="2" borderId="0" xfId="0" applyNumberFormat="1" applyFont="1" applyFill="1" applyAlignment="1" applyProtection="1">
      <alignment vertical="center"/>
      <protection hidden="1"/>
    </xf>
    <xf numFmtId="0" fontId="11" fillId="0" borderId="29" xfId="0" applyFont="1" applyFill="1" applyBorder="1" applyAlignment="1" applyProtection="1">
      <alignment horizontal="center" vertical="center" wrapText="1"/>
      <protection hidden="1"/>
    </xf>
    <xf numFmtId="0" fontId="19" fillId="0" borderId="1" xfId="0" applyFont="1" applyBorder="1" applyAlignment="1">
      <alignment horizontal="center" vertical="center"/>
    </xf>
    <xf numFmtId="0" fontId="10" fillId="0" borderId="118" xfId="0" applyFont="1" applyFill="1" applyBorder="1" applyAlignment="1" applyProtection="1">
      <alignment horizontal="right" vertical="center" wrapText="1"/>
      <protection hidden="1"/>
    </xf>
    <xf numFmtId="186" fontId="16" fillId="2" borderId="1" xfId="0" applyNumberFormat="1" applyFont="1" applyFill="1" applyBorder="1" applyAlignment="1" applyProtection="1">
      <alignment horizontal="center" vertical="center"/>
      <protection hidden="1"/>
    </xf>
    <xf numFmtId="186" fontId="99" fillId="2" borderId="1" xfId="0" applyNumberFormat="1" applyFont="1" applyFill="1" applyBorder="1" applyAlignment="1" applyProtection="1">
      <alignment horizontal="center" vertical="center"/>
      <protection hidden="1"/>
    </xf>
    <xf numFmtId="0" fontId="20" fillId="0" borderId="0" xfId="0" applyFont="1"/>
    <xf numFmtId="0" fontId="19" fillId="0" borderId="5" xfId="0" applyFont="1" applyFill="1" applyBorder="1" applyAlignment="1">
      <alignment horizontal="center" vertical="center"/>
    </xf>
    <xf numFmtId="0" fontId="0" fillId="0" borderId="29" xfId="0" applyFont="1" applyFill="1" applyBorder="1" applyAlignment="1">
      <alignment vertical="center"/>
    </xf>
    <xf numFmtId="177" fontId="99" fillId="2" borderId="1" xfId="0" applyNumberFormat="1" applyFont="1" applyFill="1" applyBorder="1" applyAlignment="1" applyProtection="1">
      <alignment horizontal="center" vertical="center"/>
      <protection hidden="1"/>
    </xf>
    <xf numFmtId="177" fontId="99" fillId="21" borderId="1" xfId="0" applyNumberFormat="1" applyFont="1" applyFill="1" applyBorder="1" applyAlignment="1" applyProtection="1">
      <alignment horizontal="center" vertical="center"/>
      <protection hidden="1"/>
    </xf>
    <xf numFmtId="0" fontId="26" fillId="2" borderId="15" xfId="0" applyFont="1" applyFill="1" applyBorder="1" applyAlignment="1" applyProtection="1">
      <alignment horizontal="center" vertical="center" wrapText="1"/>
      <protection hidden="1"/>
    </xf>
    <xf numFmtId="0" fontId="10" fillId="3" borderId="92" xfId="0" applyFont="1" applyFill="1" applyBorder="1" applyAlignment="1" applyProtection="1">
      <alignment horizontal="center" vertical="center" wrapText="1"/>
      <protection hidden="1"/>
    </xf>
    <xf numFmtId="0" fontId="22" fillId="5" borderId="12" xfId="0" applyFont="1" applyFill="1" applyBorder="1" applyAlignment="1" applyProtection="1">
      <alignment horizontal="center" vertical="center" wrapText="1"/>
      <protection hidden="1"/>
    </xf>
    <xf numFmtId="0" fontId="12" fillId="3" borderId="1" xfId="0" applyFont="1" applyFill="1" applyBorder="1" applyAlignment="1" applyProtection="1">
      <alignment horizontal="center" vertical="center" wrapText="1"/>
      <protection hidden="1"/>
    </xf>
    <xf numFmtId="0" fontId="16" fillId="7" borderId="1" xfId="0" applyFont="1" applyFill="1" applyBorder="1" applyAlignment="1" applyProtection="1">
      <alignment horizontal="center" vertical="center"/>
      <protection hidden="1"/>
    </xf>
    <xf numFmtId="0" fontId="26" fillId="2" borderId="121" xfId="0" applyFont="1" applyFill="1" applyBorder="1" applyAlignment="1" applyProtection="1">
      <alignment vertical="center"/>
      <protection hidden="1"/>
    </xf>
    <xf numFmtId="10" fontId="16" fillId="2" borderId="7" xfId="0" applyNumberFormat="1" applyFont="1" applyFill="1" applyBorder="1" applyAlignment="1" applyProtection="1">
      <alignment horizontal="center" vertical="center"/>
      <protection hidden="1"/>
    </xf>
    <xf numFmtId="10" fontId="16" fillId="2" borderId="9" xfId="0" applyNumberFormat="1" applyFont="1" applyFill="1" applyBorder="1" applyAlignment="1" applyProtection="1">
      <alignment horizontal="center" vertical="center"/>
      <protection hidden="1"/>
    </xf>
    <xf numFmtId="10" fontId="16" fillId="2" borderId="12" xfId="0" applyNumberFormat="1" applyFont="1" applyFill="1" applyBorder="1" applyAlignment="1" applyProtection="1">
      <alignment horizontal="center" vertical="center"/>
      <protection hidden="1"/>
    </xf>
    <xf numFmtId="0" fontId="11" fillId="0" borderId="29" xfId="0" applyFont="1" applyFill="1" applyBorder="1" applyAlignment="1" applyProtection="1">
      <alignment horizontal="center" vertical="center" wrapText="1"/>
      <protection hidden="1"/>
    </xf>
    <xf numFmtId="0" fontId="60" fillId="0" borderId="0" xfId="0" applyFont="1" applyAlignment="1">
      <alignment horizontal="center"/>
    </xf>
    <xf numFmtId="0" fontId="61" fillId="3" borderId="11" xfId="0" applyFont="1" applyFill="1" applyBorder="1" applyAlignment="1" applyProtection="1">
      <alignment horizontal="center" vertical="center"/>
      <protection hidden="1"/>
    </xf>
    <xf numFmtId="177" fontId="99" fillId="21" borderId="1" xfId="0" applyNumberFormat="1" applyFont="1" applyFill="1" applyBorder="1" applyAlignment="1" applyProtection="1">
      <alignment horizontal="center" vertical="center"/>
      <protection hidden="1"/>
    </xf>
    <xf numFmtId="177" fontId="99" fillId="2" borderId="1" xfId="0" applyNumberFormat="1" applyFont="1" applyFill="1" applyBorder="1" applyAlignment="1" applyProtection="1">
      <alignment horizontal="center" vertical="center"/>
      <protection hidden="1"/>
    </xf>
    <xf numFmtId="0" fontId="19" fillId="0" borderId="1" xfId="0" applyFont="1" applyBorder="1" applyAlignment="1">
      <alignment horizontal="center" vertical="center"/>
    </xf>
    <xf numFmtId="0" fontId="60" fillId="0" borderId="0" xfId="0" applyFont="1"/>
    <xf numFmtId="0" fontId="60" fillId="13" borderId="0" xfId="0" applyFont="1" applyFill="1"/>
    <xf numFmtId="0" fontId="61" fillId="0" borderId="1" xfId="0" applyFont="1" applyBorder="1" applyAlignment="1">
      <alignment vertical="center"/>
    </xf>
    <xf numFmtId="0" fontId="61" fillId="0" borderId="1" xfId="0" applyFont="1" applyBorder="1" applyAlignment="1" applyProtection="1">
      <alignment vertical="center"/>
      <protection hidden="1"/>
    </xf>
    <xf numFmtId="0" fontId="132" fillId="0" borderId="0" xfId="0" applyFont="1"/>
    <xf numFmtId="0" fontId="61" fillId="3" borderId="0" xfId="0" applyFont="1" applyFill="1" applyAlignment="1" applyProtection="1">
      <alignment vertical="center"/>
      <protection hidden="1"/>
    </xf>
    <xf numFmtId="0" fontId="60" fillId="0" borderId="1" xfId="0" applyFont="1" applyBorder="1"/>
    <xf numFmtId="10" fontId="60" fillId="0" borderId="0" xfId="0" applyNumberFormat="1" applyFont="1"/>
    <xf numFmtId="0" fontId="60" fillId="22" borderId="0" xfId="0" applyFont="1" applyFill="1"/>
    <xf numFmtId="0" fontId="60" fillId="22" borderId="29" xfId="0" applyFont="1" applyFill="1" applyBorder="1"/>
    <xf numFmtId="10" fontId="60" fillId="0" borderId="1" xfId="0" applyNumberFormat="1" applyFont="1" applyBorder="1"/>
    <xf numFmtId="0" fontId="60" fillId="7" borderId="1" xfId="0" applyFont="1" applyFill="1" applyBorder="1"/>
    <xf numFmtId="10" fontId="60" fillId="22" borderId="29" xfId="0" applyNumberFormat="1" applyFont="1" applyFill="1" applyBorder="1"/>
    <xf numFmtId="0" fontId="131" fillId="0" borderId="1" xfId="0" applyFont="1" applyBorder="1" applyAlignment="1">
      <alignment horizontal="center" vertical="center"/>
    </xf>
    <xf numFmtId="10" fontId="0" fillId="0" borderId="0" xfId="0" applyNumberFormat="1"/>
    <xf numFmtId="0" fontId="60" fillId="13" borderId="1" xfId="0" applyFont="1" applyFill="1" applyBorder="1"/>
    <xf numFmtId="194" fontId="60" fillId="0" borderId="1" xfId="0" applyNumberFormat="1" applyFont="1" applyBorder="1"/>
    <xf numFmtId="193" fontId="60" fillId="0" borderId="1" xfId="0" applyNumberFormat="1" applyFont="1" applyBorder="1"/>
    <xf numFmtId="185" fontId="60" fillId="0" borderId="0" xfId="0" applyNumberFormat="1" applyFont="1"/>
    <xf numFmtId="191" fontId="60" fillId="0" borderId="1" xfId="0" applyNumberFormat="1" applyFont="1" applyBorder="1"/>
    <xf numFmtId="0" fontId="60" fillId="0" borderId="8" xfId="0" applyFont="1" applyBorder="1"/>
    <xf numFmtId="0" fontId="60" fillId="0" borderId="5" xfId="0" applyFont="1" applyBorder="1"/>
    <xf numFmtId="0" fontId="60" fillId="0" borderId="14" xfId="0" applyFont="1" applyBorder="1"/>
    <xf numFmtId="192" fontId="60" fillId="0" borderId="1" xfId="0" applyNumberFormat="1" applyFont="1" applyBorder="1"/>
    <xf numFmtId="10" fontId="60" fillId="6" borderId="1" xfId="0" applyNumberFormat="1" applyFont="1" applyFill="1" applyBorder="1"/>
    <xf numFmtId="0" fontId="59" fillId="12" borderId="30" xfId="0" applyFont="1" applyFill="1" applyBorder="1" applyAlignment="1" applyProtection="1">
      <alignment horizontal="center" vertical="center" wrapText="1"/>
      <protection hidden="1"/>
    </xf>
    <xf numFmtId="0" fontId="6" fillId="4" borderId="125" xfId="0" applyFont="1" applyFill="1" applyBorder="1" applyAlignment="1" applyProtection="1">
      <alignment horizontal="center" vertical="center" wrapText="1"/>
      <protection hidden="1"/>
    </xf>
    <xf numFmtId="0" fontId="11" fillId="0" borderId="16" xfId="0" applyFont="1" applyFill="1" applyBorder="1" applyAlignment="1" applyProtection="1">
      <alignment horizontal="center" vertical="center" wrapText="1"/>
      <protection hidden="1"/>
    </xf>
    <xf numFmtId="0" fontId="19" fillId="0" borderId="15" xfId="0" applyFont="1" applyBorder="1" applyAlignment="1">
      <alignment vertical="center"/>
    </xf>
    <xf numFmtId="0" fontId="19" fillId="0" borderId="14" xfId="0" applyFont="1" applyBorder="1" applyAlignment="1">
      <alignment vertical="center"/>
    </xf>
    <xf numFmtId="0" fontId="16" fillId="2" borderId="29" xfId="0" applyFont="1" applyFill="1" applyBorder="1" applyAlignment="1" applyProtection="1">
      <alignment horizontal="center" vertical="center" wrapText="1"/>
      <protection hidden="1"/>
    </xf>
    <xf numFmtId="0" fontId="10" fillId="0" borderId="24" xfId="0" applyFont="1" applyFill="1" applyBorder="1" applyAlignment="1" applyProtection="1">
      <alignment horizontal="center" vertical="center" wrapText="1"/>
      <protection hidden="1"/>
    </xf>
    <xf numFmtId="10" fontId="10" fillId="0" borderId="117" xfId="0" applyNumberFormat="1" applyFont="1" applyFill="1" applyBorder="1" applyAlignment="1" applyProtection="1">
      <alignment horizontal="left" vertical="center" wrapText="1"/>
      <protection hidden="1"/>
    </xf>
    <xf numFmtId="0" fontId="11" fillId="0" borderId="1" xfId="0" applyFont="1" applyFill="1" applyBorder="1" applyAlignment="1" applyProtection="1">
      <alignment horizontal="center" vertical="center" wrapText="1"/>
      <protection hidden="1"/>
    </xf>
    <xf numFmtId="0" fontId="71" fillId="3" borderId="2" xfId="1" applyFont="1" applyFill="1" applyBorder="1" applyAlignment="1">
      <alignment horizontal="center" vertical="top"/>
    </xf>
    <xf numFmtId="0" fontId="11" fillId="0" borderId="92" xfId="0" applyFont="1" applyFill="1" applyBorder="1" applyAlignment="1" applyProtection="1">
      <alignment horizontal="center" vertical="center" wrapText="1"/>
      <protection hidden="1"/>
    </xf>
    <xf numFmtId="0" fontId="16" fillId="21" borderId="0" xfId="0" applyFont="1" applyFill="1" applyBorder="1" applyAlignment="1" applyProtection="1">
      <alignment vertical="center" wrapText="1"/>
      <protection hidden="1"/>
    </xf>
    <xf numFmtId="0" fontId="16" fillId="2" borderId="14" xfId="0" applyFont="1" applyFill="1" applyBorder="1" applyAlignment="1" applyProtection="1">
      <alignment horizontal="center" vertical="center" wrapText="1"/>
      <protection hidden="1"/>
    </xf>
    <xf numFmtId="176" fontId="12" fillId="2" borderId="1" xfId="0" applyNumberFormat="1" applyFont="1" applyFill="1" applyBorder="1" applyAlignment="1" applyProtection="1">
      <alignment horizontal="center" vertical="center"/>
      <protection hidden="1"/>
    </xf>
    <xf numFmtId="0" fontId="10" fillId="0" borderId="14" xfId="0" applyFont="1" applyFill="1" applyBorder="1" applyAlignment="1" applyProtection="1">
      <alignment horizontal="center" vertical="center" wrapText="1"/>
      <protection hidden="1"/>
    </xf>
    <xf numFmtId="190" fontId="16" fillId="2" borderId="1" xfId="0" applyNumberFormat="1" applyFont="1" applyFill="1" applyBorder="1" applyAlignment="1" applyProtection="1">
      <alignment horizontal="center" vertical="center"/>
      <protection hidden="1"/>
    </xf>
    <xf numFmtId="190" fontId="99" fillId="2" borderId="1" xfId="0" applyNumberFormat="1" applyFont="1" applyFill="1" applyBorder="1" applyAlignment="1" applyProtection="1">
      <alignment horizontal="center" vertical="center"/>
      <protection hidden="1"/>
    </xf>
    <xf numFmtId="0" fontId="16" fillId="2" borderId="1" xfId="0" applyFont="1" applyFill="1" applyBorder="1" applyAlignment="1" applyProtection="1">
      <alignment horizontal="center" vertical="center" wrapText="1"/>
      <protection hidden="1"/>
    </xf>
    <xf numFmtId="0" fontId="16" fillId="23" borderId="13" xfId="0" applyFont="1" applyFill="1" applyBorder="1" applyAlignment="1" applyProtection="1">
      <alignment horizontal="center" vertical="center" wrapText="1"/>
      <protection hidden="1"/>
    </xf>
    <xf numFmtId="177" fontId="10" fillId="2" borderId="1" xfId="5" applyNumberFormat="1" applyFont="1" applyFill="1" applyBorder="1" applyAlignment="1" applyProtection="1">
      <alignment horizontal="center" vertical="center"/>
      <protection hidden="1"/>
    </xf>
    <xf numFmtId="0" fontId="16" fillId="2" borderId="26" xfId="0" applyFont="1" applyFill="1" applyBorder="1" applyAlignment="1" applyProtection="1">
      <alignment horizontal="center" vertical="center" wrapText="1"/>
      <protection hidden="1"/>
    </xf>
    <xf numFmtId="181" fontId="12" fillId="11" borderId="1" xfId="5" applyNumberFormat="1" applyFont="1" applyFill="1" applyBorder="1" applyAlignment="1" applyProtection="1">
      <alignment horizontal="center" vertical="center"/>
      <protection hidden="1"/>
    </xf>
    <xf numFmtId="196" fontId="22" fillId="11" borderId="1" xfId="0" applyNumberFormat="1" applyFont="1" applyFill="1" applyBorder="1" applyAlignment="1" applyProtection="1">
      <alignment horizontal="center" vertical="center"/>
      <protection hidden="1"/>
    </xf>
    <xf numFmtId="0" fontId="12" fillId="2" borderId="14" xfId="0" applyFont="1" applyFill="1" applyBorder="1" applyAlignment="1" applyProtection="1">
      <alignment horizontal="center" vertical="center" wrapText="1"/>
      <protection hidden="1"/>
    </xf>
    <xf numFmtId="49" fontId="16" fillId="2" borderId="14" xfId="3" applyNumberFormat="1" applyFont="1" applyFill="1" applyBorder="1" applyAlignment="1" applyProtection="1">
      <alignment horizontal="center" vertical="center"/>
      <protection hidden="1"/>
    </xf>
    <xf numFmtId="49" fontId="12" fillId="2" borderId="14" xfId="3" applyNumberFormat="1" applyFont="1" applyFill="1" applyBorder="1" applyAlignment="1" applyProtection="1">
      <alignment horizontal="center" vertical="center"/>
      <protection hidden="1"/>
    </xf>
    <xf numFmtId="187" fontId="12" fillId="11" borderId="1" xfId="3" applyNumberFormat="1" applyFont="1" applyFill="1" applyBorder="1" applyAlignment="1" applyProtection="1">
      <alignment horizontal="center" vertical="center"/>
      <protection hidden="1"/>
    </xf>
    <xf numFmtId="0" fontId="26" fillId="2" borderId="15" xfId="0" applyFont="1" applyFill="1" applyBorder="1" applyAlignment="1" applyProtection="1">
      <alignment horizontal="center" vertical="center" wrapText="1"/>
      <protection hidden="1"/>
    </xf>
    <xf numFmtId="0" fontId="27" fillId="2" borderId="32" xfId="0" applyFont="1" applyFill="1" applyBorder="1" applyAlignment="1" applyProtection="1">
      <alignment vertical="center"/>
      <protection hidden="1"/>
    </xf>
    <xf numFmtId="176" fontId="12" fillId="2" borderId="14" xfId="0" applyNumberFormat="1" applyFont="1" applyFill="1" applyBorder="1" applyAlignment="1" applyProtection="1">
      <alignment horizontal="center" vertical="center"/>
      <protection hidden="1"/>
    </xf>
    <xf numFmtId="176" fontId="31" fillId="2" borderId="121" xfId="0" applyNumberFormat="1" applyFont="1" applyFill="1" applyBorder="1" applyAlignment="1" applyProtection="1">
      <alignment vertical="center"/>
      <protection hidden="1"/>
    </xf>
    <xf numFmtId="0" fontId="137" fillId="0" borderId="0" xfId="0" applyFont="1" applyAlignment="1">
      <alignment horizontal="left" vertical="center" readingOrder="1"/>
    </xf>
    <xf numFmtId="0" fontId="138" fillId="17" borderId="0" xfId="4" applyFont="1" applyFill="1" applyBorder="1" applyAlignment="1" applyProtection="1">
      <alignment horizontal="left" vertical="center"/>
      <protection hidden="1"/>
    </xf>
    <xf numFmtId="0" fontId="14" fillId="6" borderId="13" xfId="0" applyNumberFormat="1" applyFont="1" applyFill="1" applyBorder="1" applyAlignment="1" applyProtection="1">
      <alignment horizontal="center" vertical="center"/>
      <protection hidden="1"/>
    </xf>
    <xf numFmtId="0" fontId="139" fillId="0" borderId="1" xfId="0" applyFont="1" applyBorder="1" applyAlignment="1">
      <alignment horizontal="center" vertical="center"/>
    </xf>
    <xf numFmtId="0" fontId="99" fillId="23" borderId="1" xfId="3" applyFont="1" applyFill="1" applyBorder="1" applyAlignment="1" applyProtection="1">
      <alignment horizontal="center" vertical="center" wrapText="1"/>
      <protection hidden="1"/>
    </xf>
    <xf numFmtId="0" fontId="0" fillId="2" borderId="0" xfId="0" applyFill="1" applyAlignment="1" applyProtection="1">
      <alignment vertical="top" wrapText="1"/>
      <protection hidden="1"/>
    </xf>
    <xf numFmtId="0" fontId="23" fillId="0" borderId="1" xfId="0" applyFont="1" applyBorder="1" applyAlignment="1" applyProtection="1">
      <alignment vertical="top" wrapText="1"/>
      <protection hidden="1"/>
    </xf>
    <xf numFmtId="0" fontId="18" fillId="0" borderId="27" xfId="0" applyFont="1" applyFill="1" applyBorder="1" applyAlignment="1" applyProtection="1">
      <alignment horizontal="center" vertical="center" wrapText="1"/>
      <protection hidden="1"/>
    </xf>
    <xf numFmtId="177" fontId="99" fillId="21" borderId="1" xfId="0" applyNumberFormat="1" applyFont="1" applyFill="1" applyBorder="1" applyAlignment="1" applyProtection="1">
      <alignment horizontal="center" vertical="center"/>
      <protection hidden="1"/>
    </xf>
    <xf numFmtId="0" fontId="125" fillId="2" borderId="2" xfId="0" applyFont="1" applyFill="1" applyBorder="1" applyAlignment="1" applyProtection="1">
      <alignment horizontal="center" vertical="center" wrapText="1"/>
      <protection hidden="1"/>
    </xf>
    <xf numFmtId="177" fontId="16" fillId="2" borderId="1" xfId="0" applyNumberFormat="1" applyFont="1" applyFill="1" applyBorder="1" applyAlignment="1" applyProtection="1">
      <alignment horizontal="center" vertical="center"/>
      <protection hidden="1"/>
    </xf>
    <xf numFmtId="10" fontId="16" fillId="2" borderId="1" xfId="0" applyNumberFormat="1" applyFont="1" applyFill="1" applyBorder="1" applyAlignment="1" applyProtection="1">
      <alignment horizontal="center" vertical="center"/>
      <protection hidden="1"/>
    </xf>
    <xf numFmtId="0" fontId="60" fillId="6" borderId="1" xfId="0" applyFont="1" applyFill="1" applyBorder="1"/>
    <xf numFmtId="0" fontId="19" fillId="0" borderId="11" xfId="0" applyFont="1" applyFill="1" applyBorder="1" applyAlignment="1">
      <alignment horizontal="center" vertical="center"/>
    </xf>
    <xf numFmtId="10" fontId="0" fillId="18" borderId="5" xfId="0" applyNumberFormat="1" applyFill="1" applyBorder="1"/>
    <xf numFmtId="0" fontId="60" fillId="0" borderId="1" xfId="0" applyFont="1" applyBorder="1" applyAlignment="1">
      <alignment horizontal="right"/>
    </xf>
    <xf numFmtId="10" fontId="60" fillId="22" borderId="30" xfId="0" applyNumberFormat="1" applyFont="1" applyFill="1" applyBorder="1"/>
    <xf numFmtId="0" fontId="16" fillId="0" borderId="0" xfId="0" applyFont="1" applyFill="1" applyAlignment="1" applyProtection="1">
      <alignment vertical="center"/>
      <protection hidden="1"/>
    </xf>
    <xf numFmtId="0" fontId="14" fillId="6" borderId="5" xfId="0" applyFont="1" applyFill="1" applyBorder="1" applyAlignment="1" applyProtection="1">
      <alignment horizontal="center" vertical="center"/>
      <protection hidden="1"/>
    </xf>
    <xf numFmtId="0" fontId="10" fillId="0" borderId="130" xfId="0" applyFont="1" applyFill="1" applyBorder="1" applyAlignment="1" applyProtection="1">
      <alignment horizontal="right" vertical="center" wrapText="1"/>
      <protection hidden="1"/>
    </xf>
    <xf numFmtId="0" fontId="61" fillId="3" borderId="11" xfId="0" applyFont="1" applyFill="1" applyBorder="1" applyAlignment="1" applyProtection="1">
      <alignment horizontal="center" vertical="center"/>
      <protection hidden="1"/>
    </xf>
    <xf numFmtId="0" fontId="12" fillId="2" borderId="93" xfId="0" applyFont="1" applyFill="1" applyBorder="1" applyAlignment="1" applyProtection="1">
      <alignment horizontal="center" vertical="center" wrapText="1"/>
      <protection hidden="1"/>
    </xf>
    <xf numFmtId="177" fontId="35" fillId="8" borderId="1" xfId="3" applyNumberFormat="1" applyFont="1" applyFill="1" applyBorder="1" applyAlignment="1" applyProtection="1">
      <alignment horizontal="center" vertical="center"/>
      <protection locked="0"/>
    </xf>
    <xf numFmtId="10" fontId="26" fillId="2" borderId="1" xfId="5" applyNumberFormat="1" applyFont="1" applyFill="1" applyBorder="1" applyAlignment="1" applyProtection="1">
      <alignment horizontal="center" vertical="center"/>
      <protection hidden="1"/>
    </xf>
    <xf numFmtId="0" fontId="103" fillId="2" borderId="0" xfId="0" applyFont="1" applyFill="1" applyBorder="1" applyAlignment="1" applyProtection="1">
      <protection hidden="1"/>
    </xf>
    <xf numFmtId="181" fontId="47" fillId="2" borderId="0" xfId="0" applyNumberFormat="1" applyFont="1" applyFill="1" applyBorder="1" applyAlignment="1" applyProtection="1">
      <alignment horizontal="center" vertical="center"/>
      <protection hidden="1"/>
    </xf>
    <xf numFmtId="0" fontId="103" fillId="2" borderId="0" xfId="0" applyFont="1" applyFill="1" applyBorder="1" applyAlignment="1" applyProtection="1">
      <alignment vertical="center"/>
      <protection hidden="1"/>
    </xf>
    <xf numFmtId="0" fontId="103" fillId="2" borderId="0" xfId="0" applyFont="1" applyFill="1" applyBorder="1" applyAlignment="1" applyProtection="1">
      <alignment horizontal="left" vertical="center"/>
      <protection hidden="1"/>
    </xf>
    <xf numFmtId="0" fontId="10" fillId="0" borderId="20" xfId="0" applyFont="1" applyFill="1" applyBorder="1" applyAlignment="1" applyProtection="1">
      <alignment horizontal="center" vertical="center" wrapText="1"/>
      <protection hidden="1"/>
    </xf>
    <xf numFmtId="0" fontId="16" fillId="3" borderId="0" xfId="0" applyFont="1" applyFill="1" applyBorder="1" applyAlignment="1" applyProtection="1">
      <alignment vertical="center"/>
      <protection hidden="1"/>
    </xf>
    <xf numFmtId="0" fontId="11" fillId="0" borderId="27" xfId="0" applyFont="1" applyBorder="1" applyAlignment="1" applyProtection="1">
      <alignment horizontal="center" vertical="center" wrapText="1"/>
      <protection hidden="1"/>
    </xf>
    <xf numFmtId="0" fontId="142" fillId="0" borderId="1" xfId="0" applyFont="1" applyBorder="1" applyAlignment="1">
      <alignment vertical="center" wrapText="1"/>
    </xf>
    <xf numFmtId="176" fontId="5" fillId="2" borderId="1" xfId="0" applyNumberFormat="1" applyFont="1" applyFill="1" applyBorder="1" applyAlignment="1" applyProtection="1">
      <alignment horizontal="center" vertical="center"/>
      <protection hidden="1"/>
    </xf>
    <xf numFmtId="0" fontId="12" fillId="2" borderId="109" xfId="0" applyFont="1" applyFill="1" applyBorder="1" applyAlignment="1" applyProtection="1">
      <alignment horizontal="center" vertical="center"/>
      <protection hidden="1"/>
    </xf>
    <xf numFmtId="0" fontId="31" fillId="2" borderId="132" xfId="0" applyFont="1" applyFill="1" applyBorder="1" applyAlignment="1" applyProtection="1">
      <alignment vertical="center"/>
      <protection hidden="1"/>
    </xf>
    <xf numFmtId="9" fontId="31" fillId="2" borderId="0" xfId="5" applyFont="1" applyFill="1" applyAlignment="1" applyProtection="1">
      <alignment horizontal="left" vertical="center"/>
      <protection hidden="1"/>
    </xf>
    <xf numFmtId="0" fontId="31" fillId="2" borderId="0" xfId="0" applyFont="1" applyFill="1" applyAlignment="1" applyProtection="1">
      <alignment horizontal="left" vertical="center"/>
      <protection hidden="1"/>
    </xf>
    <xf numFmtId="0" fontId="31" fillId="2" borderId="0" xfId="0" applyFont="1" applyFill="1" applyAlignment="1" applyProtection="1">
      <alignment horizontal="right" vertical="center" indent="1"/>
      <protection hidden="1"/>
    </xf>
    <xf numFmtId="0" fontId="71" fillId="3" borderId="5" xfId="1" applyFont="1" applyFill="1" applyBorder="1" applyAlignment="1">
      <alignment horizontal="center" vertical="center"/>
    </xf>
    <xf numFmtId="0" fontId="71" fillId="3" borderId="11" xfId="1" applyFont="1" applyFill="1" applyBorder="1" applyAlignment="1">
      <alignment horizontal="center" vertical="center"/>
    </xf>
    <xf numFmtId="177" fontId="99" fillId="2" borderId="1" xfId="0" applyNumberFormat="1" applyFont="1" applyFill="1" applyBorder="1" applyAlignment="1" applyProtection="1">
      <alignment horizontal="center" vertical="center"/>
      <protection hidden="1"/>
    </xf>
    <xf numFmtId="0" fontId="125" fillId="2" borderId="2" xfId="0" applyFont="1" applyFill="1" applyBorder="1" applyAlignment="1" applyProtection="1">
      <alignment horizontal="center" vertical="center" wrapText="1"/>
      <protection hidden="1"/>
    </xf>
    <xf numFmtId="177" fontId="99" fillId="21" borderId="1" xfId="0" applyNumberFormat="1" applyFont="1" applyFill="1" applyBorder="1" applyAlignment="1" applyProtection="1">
      <alignment horizontal="center" vertical="center"/>
      <protection hidden="1"/>
    </xf>
    <xf numFmtId="0" fontId="31" fillId="2" borderId="0" xfId="0" applyFont="1" applyFill="1" applyAlignment="1" applyProtection="1">
      <alignment horizontal="left" vertical="center"/>
      <protection hidden="1"/>
    </xf>
    <xf numFmtId="10" fontId="16" fillId="2" borderId="1" xfId="0" applyNumberFormat="1" applyFont="1" applyFill="1" applyBorder="1" applyAlignment="1" applyProtection="1">
      <alignment horizontal="center" vertical="center"/>
      <protection hidden="1"/>
    </xf>
    <xf numFmtId="177" fontId="16" fillId="2" borderId="1" xfId="0" applyNumberFormat="1" applyFont="1" applyFill="1" applyBorder="1" applyAlignment="1" applyProtection="1">
      <alignment horizontal="center" vertical="center"/>
      <protection hidden="1"/>
    </xf>
    <xf numFmtId="0" fontId="60" fillId="0" borderId="0" xfId="0" applyFont="1" applyAlignment="1">
      <alignment horizontal="center"/>
    </xf>
    <xf numFmtId="0" fontId="0" fillId="21" borderId="5" xfId="0" applyFont="1" applyFill="1" applyBorder="1" applyAlignment="1">
      <alignment vertical="center" wrapText="1"/>
    </xf>
    <xf numFmtId="0" fontId="31" fillId="2" borderId="0" xfId="0" applyFont="1" applyFill="1" applyBorder="1" applyAlignment="1" applyProtection="1">
      <alignment horizontal="center" vertical="top"/>
      <protection hidden="1"/>
    </xf>
    <xf numFmtId="0" fontId="22" fillId="2" borderId="0" xfId="3" applyFont="1" applyFill="1" applyBorder="1" applyAlignment="1" applyProtection="1">
      <alignment horizontal="center" vertical="center" wrapText="1"/>
      <protection hidden="1"/>
    </xf>
    <xf numFmtId="177" fontId="35" fillId="2" borderId="0" xfId="3" applyNumberFormat="1" applyFont="1" applyFill="1" applyBorder="1" applyAlignment="1" applyProtection="1">
      <alignment horizontal="center" vertical="center"/>
      <protection locked="0"/>
    </xf>
    <xf numFmtId="0" fontId="22" fillId="2" borderId="0" xfId="3" applyFont="1" applyFill="1" applyBorder="1" applyAlignment="1" applyProtection="1">
      <alignment horizontal="center" vertical="center"/>
      <protection hidden="1"/>
    </xf>
    <xf numFmtId="0" fontId="26" fillId="2" borderId="0" xfId="0" applyFont="1" applyFill="1" applyBorder="1" applyAlignment="1" applyProtection="1">
      <alignment horizontal="center" vertical="center"/>
      <protection hidden="1"/>
    </xf>
    <xf numFmtId="10" fontId="26" fillId="2" borderId="0" xfId="5" applyNumberFormat="1" applyFont="1" applyFill="1" applyBorder="1" applyAlignment="1" applyProtection="1">
      <alignment horizontal="center" vertical="center"/>
      <protection hidden="1"/>
    </xf>
    <xf numFmtId="176" fontId="5" fillId="2" borderId="0" xfId="0" applyNumberFormat="1" applyFont="1" applyFill="1" applyBorder="1" applyAlignment="1" applyProtection="1">
      <alignment horizontal="center" vertical="center"/>
      <protection hidden="1"/>
    </xf>
    <xf numFmtId="176" fontId="31" fillId="2" borderId="0" xfId="0" applyNumberFormat="1" applyFont="1" applyFill="1" applyAlignment="1" applyProtection="1">
      <alignment horizontal="left" vertical="center"/>
      <protection hidden="1"/>
    </xf>
    <xf numFmtId="0" fontId="71" fillId="0" borderId="2" xfId="1" applyFont="1" applyFill="1" applyBorder="1" applyAlignment="1">
      <alignment horizontal="center" vertical="center"/>
    </xf>
    <xf numFmtId="0" fontId="14" fillId="6" borderId="5" xfId="0" applyNumberFormat="1" applyFont="1" applyFill="1" applyBorder="1" applyAlignment="1" applyProtection="1">
      <alignment horizontal="center" vertical="center"/>
      <protection hidden="1"/>
    </xf>
    <xf numFmtId="3" fontId="14" fillId="6" borderId="5" xfId="0" applyNumberFormat="1" applyFont="1" applyFill="1" applyBorder="1" applyAlignment="1" applyProtection="1">
      <alignment horizontal="center" vertical="center"/>
      <protection hidden="1"/>
    </xf>
    <xf numFmtId="0" fontId="14" fillId="6" borderId="1" xfId="0" applyFont="1" applyFill="1" applyBorder="1" applyAlignment="1" applyProtection="1">
      <alignment horizontal="center" vertical="center"/>
      <protection hidden="1"/>
    </xf>
    <xf numFmtId="3" fontId="14" fillId="6" borderId="1" xfId="0" applyNumberFormat="1" applyFont="1" applyFill="1" applyBorder="1" applyAlignment="1" applyProtection="1">
      <alignment horizontal="center" vertical="center"/>
      <protection hidden="1"/>
    </xf>
    <xf numFmtId="10" fontId="10" fillId="0" borderId="128" xfId="0" applyNumberFormat="1" applyFont="1" applyBorder="1" applyAlignment="1" applyProtection="1">
      <alignment horizontal="left" vertical="center" wrapText="1"/>
      <protection hidden="1"/>
    </xf>
    <xf numFmtId="10" fontId="10" fillId="0" borderId="120" xfId="0" applyNumberFormat="1" applyFont="1" applyFill="1" applyBorder="1" applyAlignment="1" applyProtection="1">
      <alignment horizontal="left" vertical="center" wrapText="1"/>
      <protection hidden="1"/>
    </xf>
    <xf numFmtId="10" fontId="10" fillId="0" borderId="119" xfId="0" applyNumberFormat="1" applyFont="1" applyFill="1" applyBorder="1" applyAlignment="1" applyProtection="1">
      <alignment horizontal="left" vertical="center" wrapText="1"/>
      <protection hidden="1"/>
    </xf>
    <xf numFmtId="10" fontId="10" fillId="0" borderId="129" xfId="0" applyNumberFormat="1" applyFont="1" applyBorder="1" applyAlignment="1" applyProtection="1">
      <alignment horizontal="left" vertical="center" wrapText="1"/>
      <protection hidden="1"/>
    </xf>
    <xf numFmtId="0" fontId="131" fillId="6" borderId="1" xfId="0" applyFont="1" applyFill="1" applyBorder="1" applyAlignment="1">
      <alignment horizontal="center" vertical="center"/>
    </xf>
    <xf numFmtId="0" fontId="37" fillId="6" borderId="1" xfId="0" applyFont="1" applyFill="1" applyBorder="1" applyAlignment="1">
      <alignment horizontal="center" vertical="center"/>
    </xf>
    <xf numFmtId="2" fontId="37" fillId="3" borderId="1" xfId="0" applyNumberFormat="1" applyFont="1" applyFill="1" applyBorder="1" applyAlignment="1">
      <alignment horizontal="center" vertical="center"/>
    </xf>
    <xf numFmtId="0" fontId="37" fillId="0" borderId="1" xfId="0" applyFont="1" applyBorder="1" applyAlignment="1">
      <alignment horizontal="center" vertical="center" wrapText="1"/>
    </xf>
    <xf numFmtId="0" fontId="14" fillId="6" borderId="5" xfId="0" applyFont="1" applyFill="1" applyBorder="1" applyAlignment="1" applyProtection="1">
      <alignment horizontal="center" vertical="center"/>
      <protection hidden="1"/>
    </xf>
    <xf numFmtId="0" fontId="14" fillId="6" borderId="5" xfId="0" applyNumberFormat="1" applyFont="1" applyFill="1" applyBorder="1" applyAlignment="1" applyProtection="1">
      <alignment horizontal="center" vertical="center"/>
      <protection hidden="1"/>
    </xf>
    <xf numFmtId="0" fontId="145" fillId="3" borderId="1" xfId="0" applyFont="1" applyFill="1" applyBorder="1" applyAlignment="1" applyProtection="1">
      <alignment vertical="center"/>
      <protection hidden="1"/>
    </xf>
    <xf numFmtId="0" fontId="71" fillId="3" borderId="11" xfId="1" applyFont="1" applyFill="1" applyBorder="1" applyAlignment="1">
      <alignment horizontal="center" vertical="center"/>
    </xf>
    <xf numFmtId="0" fontId="10" fillId="0" borderId="116" xfId="0" applyFont="1" applyFill="1" applyBorder="1" applyAlignment="1" applyProtection="1">
      <alignment horizontal="center" vertical="center" wrapText="1"/>
      <protection hidden="1"/>
    </xf>
    <xf numFmtId="0" fontId="11" fillId="0" borderId="1" xfId="1" applyFont="1" applyFill="1" applyBorder="1" applyAlignment="1" applyProtection="1">
      <alignment horizontal="center" vertical="center" wrapText="1"/>
      <protection hidden="1"/>
    </xf>
    <xf numFmtId="0" fontId="71" fillId="3" borderId="2" xfId="1" applyFont="1" applyFill="1" applyBorder="1" applyAlignment="1">
      <alignment horizontal="center" vertical="center"/>
    </xf>
    <xf numFmtId="0" fontId="71" fillId="3" borderId="11" xfId="1" applyFont="1" applyFill="1" applyBorder="1" applyAlignment="1">
      <alignment horizontal="center" vertical="center"/>
    </xf>
    <xf numFmtId="0" fontId="71" fillId="3" borderId="11" xfId="1" applyFont="1" applyFill="1" applyBorder="1" applyAlignment="1">
      <alignment horizontal="center" vertical="center"/>
    </xf>
    <xf numFmtId="0" fontId="10" fillId="0" borderId="123" xfId="0" applyFont="1" applyFill="1" applyBorder="1" applyAlignment="1" applyProtection="1">
      <alignment horizontal="right" vertical="center" wrapText="1"/>
      <protection hidden="1"/>
    </xf>
    <xf numFmtId="10" fontId="10" fillId="0" borderId="134" xfId="0" applyNumberFormat="1" applyFont="1" applyBorder="1" applyAlignment="1" applyProtection="1">
      <alignment horizontal="left" vertical="center" wrapText="1"/>
      <protection hidden="1"/>
    </xf>
    <xf numFmtId="10" fontId="143" fillId="0" borderId="1" xfId="0" applyNumberFormat="1" applyFont="1" applyBorder="1"/>
    <xf numFmtId="0" fontId="47" fillId="9" borderId="47" xfId="0" applyFont="1" applyFill="1" applyBorder="1" applyAlignment="1" applyProtection="1">
      <alignment horizontal="center" vertical="center" wrapText="1"/>
      <protection hidden="1"/>
    </xf>
    <xf numFmtId="176" fontId="100" fillId="8" borderId="48" xfId="0" applyNumberFormat="1" applyFont="1" applyFill="1" applyBorder="1" applyAlignment="1" applyProtection="1">
      <alignment horizontal="center" vertical="center"/>
      <protection locked="0"/>
    </xf>
    <xf numFmtId="10" fontId="0" fillId="0" borderId="0" xfId="0" applyNumberFormat="1" applyAlignment="1">
      <alignment horizontal="center" vertical="center"/>
    </xf>
    <xf numFmtId="0" fontId="71" fillId="3" borderId="11" xfId="1" applyFont="1" applyFill="1" applyBorder="1" applyAlignment="1">
      <alignment horizontal="center" vertical="center"/>
    </xf>
    <xf numFmtId="177" fontId="35" fillId="8" borderId="1" xfId="3" applyNumberFormat="1" applyFont="1" applyFill="1" applyBorder="1" applyAlignment="1" applyProtection="1">
      <alignment horizontal="center" vertical="center"/>
      <protection locked="0"/>
    </xf>
    <xf numFmtId="177" fontId="21" fillId="2" borderId="1" xfId="2" applyNumberFormat="1" applyFont="1" applyFill="1" applyBorder="1" applyAlignment="1" applyProtection="1">
      <alignment horizontal="center" vertical="center" wrapText="1"/>
      <protection hidden="1"/>
    </xf>
    <xf numFmtId="177" fontId="99" fillId="2" borderId="1" xfId="0" applyNumberFormat="1" applyFont="1" applyFill="1" applyBorder="1" applyAlignment="1" applyProtection="1">
      <alignment horizontal="center" vertical="center"/>
      <protection hidden="1"/>
    </xf>
    <xf numFmtId="177" fontId="99" fillId="21" borderId="5" xfId="0" applyNumberFormat="1" applyFont="1" applyFill="1" applyBorder="1" applyAlignment="1" applyProtection="1">
      <alignment horizontal="center" vertical="center"/>
      <protection hidden="1"/>
    </xf>
    <xf numFmtId="177" fontId="99" fillId="21" borderId="1" xfId="0" applyNumberFormat="1" applyFont="1" applyFill="1" applyBorder="1" applyAlignment="1" applyProtection="1">
      <alignment horizontal="center" vertical="center"/>
      <protection hidden="1"/>
    </xf>
    <xf numFmtId="0" fontId="31" fillId="2" borderId="0" xfId="0" applyFont="1" applyFill="1" applyBorder="1" applyAlignment="1" applyProtection="1">
      <alignment horizontal="center" vertical="top"/>
      <protection hidden="1"/>
    </xf>
    <xf numFmtId="0" fontId="31" fillId="2" borderId="0" xfId="0" applyFont="1" applyFill="1" applyAlignment="1" applyProtection="1">
      <alignment horizontal="left" vertical="center"/>
      <protection hidden="1"/>
    </xf>
    <xf numFmtId="10" fontId="26" fillId="2" borderId="1" xfId="5" applyNumberFormat="1" applyFont="1" applyFill="1" applyBorder="1" applyAlignment="1" applyProtection="1">
      <alignment horizontal="center" vertical="center"/>
      <protection hidden="1"/>
    </xf>
    <xf numFmtId="0" fontId="125" fillId="2" borderId="1" xfId="0" applyFont="1" applyFill="1" applyBorder="1" applyAlignment="1" applyProtection="1">
      <alignment horizontal="center" vertical="center" wrapText="1"/>
      <protection hidden="1"/>
    </xf>
    <xf numFmtId="0" fontId="11" fillId="2" borderId="0" xfId="0" applyFont="1" applyFill="1" applyBorder="1" applyAlignment="1" applyProtection="1">
      <alignment vertical="center" wrapText="1"/>
      <protection hidden="1"/>
    </xf>
    <xf numFmtId="177" fontId="21" fillId="2" borderId="1" xfId="2" applyNumberFormat="1" applyFont="1" applyFill="1" applyBorder="1" applyAlignment="1" applyProtection="1">
      <alignment vertical="center" wrapText="1"/>
      <protection hidden="1"/>
    </xf>
    <xf numFmtId="0" fontId="31" fillId="2" borderId="0" xfId="0" applyFont="1" applyFill="1" applyBorder="1" applyAlignment="1" applyProtection="1">
      <alignment vertical="center" wrapText="1"/>
      <protection hidden="1"/>
    </xf>
    <xf numFmtId="182" fontId="26" fillId="2" borderId="1" xfId="0" applyNumberFormat="1" applyFont="1" applyFill="1" applyBorder="1" applyAlignment="1" applyProtection="1">
      <alignment horizontal="center" vertical="center"/>
      <protection hidden="1"/>
    </xf>
    <xf numFmtId="179" fontId="101" fillId="2" borderId="0" xfId="2" applyNumberFormat="1" applyFont="1" applyFill="1" applyBorder="1" applyAlignment="1" applyProtection="1">
      <alignment horizontal="right"/>
      <protection hidden="1"/>
    </xf>
    <xf numFmtId="176" fontId="149" fillId="2" borderId="0" xfId="0" applyNumberFormat="1" applyFont="1" applyFill="1" applyBorder="1" applyAlignment="1" applyProtection="1">
      <alignment horizontal="center"/>
      <protection locked="0"/>
    </xf>
    <xf numFmtId="180" fontId="116" fillId="2" borderId="0" xfId="0" applyNumberFormat="1" applyFont="1" applyFill="1" applyBorder="1" applyAlignment="1" applyProtection="1">
      <alignment horizontal="center" vertical="center"/>
      <protection hidden="1"/>
    </xf>
    <xf numFmtId="177" fontId="99" fillId="2" borderId="1" xfId="0" applyNumberFormat="1" applyFont="1" applyFill="1" applyBorder="1" applyAlignment="1" applyProtection="1">
      <alignment horizontal="center" vertical="center"/>
      <protection hidden="1"/>
    </xf>
    <xf numFmtId="177" fontId="99" fillId="21" borderId="1" xfId="0" applyNumberFormat="1" applyFont="1" applyFill="1" applyBorder="1" applyAlignment="1" applyProtection="1">
      <alignment horizontal="center" vertical="center"/>
      <protection hidden="1"/>
    </xf>
    <xf numFmtId="0" fontId="125" fillId="2" borderId="1" xfId="0" applyFont="1" applyFill="1" applyBorder="1" applyAlignment="1" applyProtection="1">
      <alignment horizontal="center" vertical="center" wrapText="1"/>
      <protection hidden="1"/>
    </xf>
    <xf numFmtId="0" fontId="12" fillId="2" borderId="109" xfId="0" applyFont="1" applyFill="1" applyBorder="1" applyAlignment="1" applyProtection="1">
      <alignment horizontal="center" vertical="center" wrapText="1"/>
      <protection hidden="1"/>
    </xf>
    <xf numFmtId="0" fontId="113" fillId="2" borderId="1" xfId="0" applyFont="1" applyFill="1" applyBorder="1" applyAlignment="1" applyProtection="1">
      <alignment horizontal="center" vertical="center" wrapText="1"/>
      <protection hidden="1"/>
    </xf>
    <xf numFmtId="0" fontId="56" fillId="2" borderId="0" xfId="0" applyFont="1" applyFill="1" applyBorder="1" applyAlignment="1" applyProtection="1">
      <alignment horizontal="center" vertical="center" wrapText="1"/>
      <protection hidden="1"/>
    </xf>
    <xf numFmtId="0" fontId="111" fillId="2" borderId="0" xfId="0" applyFont="1" applyFill="1" applyBorder="1" applyAlignment="1" applyProtection="1">
      <alignment horizontal="right" vertical="center"/>
      <protection hidden="1"/>
    </xf>
    <xf numFmtId="0" fontId="113" fillId="2" borderId="1" xfId="0" applyFont="1" applyFill="1" applyBorder="1" applyAlignment="1" applyProtection="1">
      <alignment vertical="center" wrapText="1"/>
      <protection hidden="1"/>
    </xf>
    <xf numFmtId="0" fontId="113" fillId="2" borderId="1" xfId="0" applyFont="1" applyFill="1" applyBorder="1" applyAlignment="1" applyProtection="1">
      <alignment horizontal="center" vertical="center"/>
      <protection hidden="1"/>
    </xf>
    <xf numFmtId="187" fontId="113" fillId="2" borderId="1" xfId="0" applyNumberFormat="1" applyFont="1" applyFill="1" applyBorder="1" applyAlignment="1" applyProtection="1">
      <alignment horizontal="center" vertical="center"/>
      <protection hidden="1"/>
    </xf>
    <xf numFmtId="190" fontId="111" fillId="2" borderId="1" xfId="0" applyNumberFormat="1" applyFont="1" applyFill="1" applyBorder="1" applyAlignment="1" applyProtection="1">
      <alignment horizontal="center" vertical="center"/>
      <protection hidden="1"/>
    </xf>
    <xf numFmtId="10" fontId="111" fillId="2" borderId="1" xfId="0" applyNumberFormat="1" applyFont="1" applyFill="1" applyBorder="1" applyAlignment="1" applyProtection="1">
      <alignment horizontal="center" vertical="center"/>
      <protection hidden="1"/>
    </xf>
    <xf numFmtId="177" fontId="111" fillId="2" borderId="1" xfId="0" applyNumberFormat="1" applyFont="1" applyFill="1" applyBorder="1" applyAlignment="1" applyProtection="1">
      <alignment horizontal="center" vertical="center"/>
      <protection hidden="1"/>
    </xf>
    <xf numFmtId="0" fontId="71" fillId="3" borderId="5" xfId="1" applyFont="1" applyFill="1" applyBorder="1" applyAlignment="1">
      <alignment horizontal="center"/>
    </xf>
    <xf numFmtId="0" fontId="152" fillId="6" borderId="1" xfId="0" applyFont="1" applyFill="1" applyBorder="1" applyAlignment="1" applyProtection="1">
      <alignment horizontal="center" vertical="center"/>
      <protection hidden="1"/>
    </xf>
    <xf numFmtId="0" fontId="153" fillId="6" borderId="1" xfId="0" applyNumberFormat="1" applyFont="1" applyFill="1" applyBorder="1" applyAlignment="1" applyProtection="1">
      <alignment horizontal="center" vertical="center"/>
      <protection hidden="1"/>
    </xf>
    <xf numFmtId="0" fontId="11" fillId="3" borderId="30" xfId="0" applyFont="1" applyFill="1" applyBorder="1" applyAlignment="1" applyProtection="1">
      <alignment horizontal="center" vertical="center" wrapText="1"/>
      <protection hidden="1"/>
    </xf>
    <xf numFmtId="0" fontId="11" fillId="3" borderId="31" xfId="0" applyFont="1" applyFill="1" applyBorder="1" applyAlignment="1" applyProtection="1">
      <alignment horizontal="center" vertical="center" wrapText="1"/>
      <protection hidden="1"/>
    </xf>
    <xf numFmtId="0" fontId="11" fillId="3" borderId="16" xfId="0" applyFont="1" applyFill="1" applyBorder="1" applyAlignment="1" applyProtection="1">
      <alignment horizontal="center" vertical="center" wrapText="1"/>
      <protection hidden="1"/>
    </xf>
    <xf numFmtId="0" fontId="71" fillId="0" borderId="92" xfId="1" applyFont="1" applyBorder="1" applyAlignment="1" applyProtection="1">
      <alignment horizontal="center" vertical="center"/>
      <protection locked="0"/>
    </xf>
    <xf numFmtId="0" fontId="71" fillId="0" borderId="101" xfId="1" applyFont="1" applyBorder="1" applyAlignment="1" applyProtection="1">
      <alignment horizontal="center" vertical="center"/>
      <protection locked="0"/>
    </xf>
    <xf numFmtId="0" fontId="10" fillId="0" borderId="5" xfId="0" applyFont="1" applyFill="1" applyBorder="1" applyAlignment="1" applyProtection="1">
      <alignment horizontal="center" vertical="center" wrapText="1"/>
      <protection hidden="1"/>
    </xf>
    <xf numFmtId="0" fontId="10" fillId="0" borderId="2" xfId="0" applyFont="1" applyFill="1" applyBorder="1" applyAlignment="1" applyProtection="1">
      <alignment horizontal="center" vertical="center" wrapText="1"/>
      <protection hidden="1"/>
    </xf>
    <xf numFmtId="0" fontId="11" fillId="0" borderId="131" xfId="0" applyFont="1" applyFill="1" applyBorder="1" applyAlignment="1" applyProtection="1">
      <alignment horizontal="center" vertical="center" wrapText="1"/>
      <protection hidden="1"/>
    </xf>
    <xf numFmtId="0" fontId="11" fillId="0" borderId="6" xfId="0" applyFont="1" applyFill="1" applyBorder="1" applyAlignment="1" applyProtection="1">
      <alignment horizontal="center" vertical="center" wrapText="1"/>
      <protection hidden="1"/>
    </xf>
    <xf numFmtId="0" fontId="16" fillId="0" borderId="5" xfId="0" applyFont="1" applyFill="1" applyBorder="1" applyAlignment="1" applyProtection="1">
      <alignment horizontal="center" vertical="center" wrapText="1"/>
      <protection hidden="1"/>
    </xf>
    <xf numFmtId="0" fontId="16" fillId="0" borderId="11" xfId="0" applyFont="1" applyFill="1" applyBorder="1" applyAlignment="1" applyProtection="1">
      <alignment horizontal="center" vertical="center" wrapText="1"/>
      <protection hidden="1"/>
    </xf>
    <xf numFmtId="0" fontId="16" fillId="0" borderId="2" xfId="0" applyFont="1" applyFill="1" applyBorder="1" applyAlignment="1" applyProtection="1">
      <alignment horizontal="center" vertical="center" wrapText="1"/>
      <protection hidden="1"/>
    </xf>
    <xf numFmtId="0" fontId="18" fillId="0" borderId="107" xfId="0" applyFont="1" applyBorder="1" applyAlignment="1" applyProtection="1">
      <alignment horizontal="center" vertical="center" wrapText="1"/>
      <protection hidden="1"/>
    </xf>
    <xf numFmtId="0" fontId="18" fillId="0" borderId="122" xfId="0" applyFont="1" applyBorder="1" applyAlignment="1" applyProtection="1">
      <alignment horizontal="center" vertical="center" wrapText="1"/>
      <protection hidden="1"/>
    </xf>
    <xf numFmtId="0" fontId="10" fillId="0" borderId="1" xfId="0" applyFont="1" applyFill="1" applyBorder="1" applyAlignment="1" applyProtection="1">
      <alignment horizontal="center" vertical="center" wrapText="1"/>
      <protection hidden="1"/>
    </xf>
    <xf numFmtId="0" fontId="10" fillId="0" borderId="140" xfId="0" applyFont="1" applyBorder="1" applyAlignment="1" applyProtection="1">
      <alignment horizontal="center" vertical="center" wrapText="1"/>
      <protection hidden="1"/>
    </xf>
    <xf numFmtId="0" fontId="10" fillId="0" borderId="144" xfId="0" applyFont="1" applyBorder="1" applyAlignment="1" applyProtection="1">
      <alignment horizontal="center" vertical="center" wrapText="1"/>
      <protection hidden="1"/>
    </xf>
    <xf numFmtId="0" fontId="10" fillId="0" borderId="145" xfId="0" applyFont="1" applyBorder="1" applyAlignment="1" applyProtection="1">
      <alignment horizontal="center" vertical="center" wrapText="1"/>
      <protection hidden="1"/>
    </xf>
    <xf numFmtId="0" fontId="11" fillId="0" borderId="107" xfId="0" applyFont="1" applyBorder="1" applyAlignment="1" applyProtection="1">
      <alignment horizontal="center" vertical="center" wrapText="1"/>
      <protection hidden="1"/>
    </xf>
    <xf numFmtId="0" fontId="11" fillId="0" borderId="146" xfId="0" applyFont="1" applyBorder="1" applyAlignment="1" applyProtection="1">
      <alignment horizontal="center" vertical="center" wrapText="1"/>
      <protection hidden="1"/>
    </xf>
    <xf numFmtId="0" fontId="11" fillId="0" borderId="133" xfId="0" applyFont="1" applyBorder="1" applyAlignment="1" applyProtection="1">
      <alignment horizontal="center" vertical="center" wrapText="1"/>
      <protection hidden="1"/>
    </xf>
    <xf numFmtId="0" fontId="11" fillId="0" borderId="1" xfId="0" applyFont="1" applyFill="1" applyBorder="1" applyAlignment="1" applyProtection="1">
      <alignment horizontal="center" vertical="center" wrapText="1"/>
      <protection hidden="1"/>
    </xf>
    <xf numFmtId="0" fontId="10" fillId="0" borderId="135" xfId="0" applyFont="1" applyFill="1" applyBorder="1" applyAlignment="1" applyProtection="1">
      <alignment horizontal="right" vertical="center" wrapText="1"/>
      <protection hidden="1"/>
    </xf>
    <xf numFmtId="0" fontId="10" fillId="0" borderId="137" xfId="0" applyFont="1" applyFill="1" applyBorder="1" applyAlignment="1" applyProtection="1">
      <alignment horizontal="right" vertical="center" wrapText="1"/>
      <protection hidden="1"/>
    </xf>
    <xf numFmtId="10" fontId="10" fillId="0" borderId="136" xfId="0" applyNumberFormat="1" applyFont="1" applyFill="1" applyBorder="1" applyAlignment="1" applyProtection="1">
      <alignment horizontal="left" vertical="center" wrapText="1"/>
      <protection hidden="1"/>
    </xf>
    <xf numFmtId="10" fontId="10" fillId="0" borderId="138" xfId="0" applyNumberFormat="1" applyFont="1" applyFill="1" applyBorder="1" applyAlignment="1" applyProtection="1">
      <alignment horizontal="left" vertical="center" wrapText="1"/>
      <protection hidden="1"/>
    </xf>
    <xf numFmtId="0" fontId="26" fillId="3" borderId="11" xfId="0" applyFont="1" applyFill="1" applyBorder="1" applyAlignment="1" applyProtection="1">
      <alignment horizontal="center" vertical="center" wrapText="1"/>
      <protection hidden="1"/>
    </xf>
    <xf numFmtId="0" fontId="11" fillId="0" borderId="131" xfId="1" applyFont="1" applyFill="1" applyBorder="1" applyAlignment="1" applyProtection="1">
      <alignment horizontal="center" vertical="center" wrapText="1"/>
      <protection hidden="1"/>
    </xf>
    <xf numFmtId="0" fontId="11" fillId="0" borderId="6" xfId="1" applyFont="1" applyFill="1" applyBorder="1" applyAlignment="1" applyProtection="1">
      <alignment horizontal="center" vertical="center" wrapText="1"/>
      <protection hidden="1"/>
    </xf>
    <xf numFmtId="0" fontId="11" fillId="0" borderId="143" xfId="1" applyFont="1" applyFill="1" applyBorder="1" applyAlignment="1" applyProtection="1">
      <alignment horizontal="center" vertical="center" wrapText="1"/>
      <protection hidden="1"/>
    </xf>
    <xf numFmtId="0" fontId="10" fillId="0" borderId="135" xfId="0" applyFont="1" applyBorder="1" applyAlignment="1" applyProtection="1">
      <alignment horizontal="right" vertical="center" wrapText="1"/>
      <protection hidden="1"/>
    </xf>
    <xf numFmtId="0" fontId="10" fillId="0" borderId="126" xfId="0" applyFont="1" applyBorder="1" applyAlignment="1" applyProtection="1">
      <alignment horizontal="right" vertical="center" wrapText="1"/>
      <protection hidden="1"/>
    </xf>
    <xf numFmtId="0" fontId="10" fillId="0" borderId="137" xfId="0" applyFont="1" applyBorder="1" applyAlignment="1" applyProtection="1">
      <alignment horizontal="right" vertical="center" wrapText="1"/>
      <protection hidden="1"/>
    </xf>
    <xf numFmtId="10" fontId="10" fillId="0" borderId="136" xfId="0" applyNumberFormat="1" applyFont="1" applyBorder="1" applyAlignment="1" applyProtection="1">
      <alignment horizontal="left" vertical="center" wrapText="1"/>
      <protection hidden="1"/>
    </xf>
    <xf numFmtId="10" fontId="10" fillId="0" borderId="139" xfId="0" applyNumberFormat="1" applyFont="1" applyBorder="1" applyAlignment="1" applyProtection="1">
      <alignment horizontal="left" vertical="center" wrapText="1"/>
      <protection hidden="1"/>
    </xf>
    <xf numFmtId="10" fontId="10" fillId="0" borderId="138" xfId="0" applyNumberFormat="1" applyFont="1" applyBorder="1" applyAlignment="1" applyProtection="1">
      <alignment horizontal="left" vertical="center" wrapText="1"/>
      <protection hidden="1"/>
    </xf>
    <xf numFmtId="0" fontId="10" fillId="0" borderId="126" xfId="0" applyFont="1" applyFill="1" applyBorder="1" applyAlignment="1" applyProtection="1">
      <alignment horizontal="right" vertical="center" wrapText="1"/>
      <protection hidden="1"/>
    </xf>
    <xf numFmtId="10" fontId="10" fillId="0" borderId="139" xfId="0" applyNumberFormat="1" applyFont="1" applyFill="1" applyBorder="1" applyAlignment="1" applyProtection="1">
      <alignment horizontal="left" vertical="center" wrapText="1"/>
      <protection hidden="1"/>
    </xf>
    <xf numFmtId="0" fontId="26" fillId="3" borderId="5" xfId="0" applyFont="1" applyFill="1" applyBorder="1" applyAlignment="1" applyProtection="1">
      <alignment horizontal="center" vertical="center" wrapText="1"/>
      <protection hidden="1"/>
    </xf>
    <xf numFmtId="0" fontId="26" fillId="3" borderId="2" xfId="0" applyFont="1" applyFill="1" applyBorder="1" applyAlignment="1" applyProtection="1">
      <alignment horizontal="center" vertical="center" wrapText="1"/>
      <protection hidden="1"/>
    </xf>
    <xf numFmtId="0" fontId="71" fillId="3" borderId="11" xfId="1" applyFont="1" applyFill="1" applyBorder="1" applyAlignment="1">
      <alignment horizontal="center" vertical="center"/>
    </xf>
    <xf numFmtId="0" fontId="11" fillId="0" borderId="5" xfId="1" applyFont="1" applyFill="1" applyBorder="1" applyAlignment="1" applyProtection="1">
      <alignment horizontal="center" vertical="center" wrapText="1"/>
      <protection hidden="1"/>
    </xf>
    <xf numFmtId="0" fontId="11" fillId="0" borderId="11" xfId="1" applyFont="1" applyFill="1" applyBorder="1" applyAlignment="1" applyProtection="1">
      <alignment horizontal="center" vertical="center" wrapText="1"/>
      <protection hidden="1"/>
    </xf>
    <xf numFmtId="0" fontId="11" fillId="0" borderId="2" xfId="1" applyFont="1" applyFill="1" applyBorder="1" applyAlignment="1" applyProtection="1">
      <alignment horizontal="center" vertical="center" wrapText="1"/>
      <protection hidden="1"/>
    </xf>
    <xf numFmtId="0" fontId="2" fillId="2" borderId="0" xfId="0" applyFont="1" applyFill="1" applyAlignment="1" applyProtection="1">
      <alignment horizontal="left" vertical="top" wrapText="1"/>
      <protection hidden="1"/>
    </xf>
    <xf numFmtId="0" fontId="3" fillId="2" borderId="0" xfId="0" applyFont="1" applyFill="1" applyAlignment="1" applyProtection="1">
      <alignment horizontal="left" vertical="top" wrapText="1"/>
      <protection hidden="1"/>
    </xf>
    <xf numFmtId="0" fontId="6" fillId="4" borderId="30" xfId="0" applyFont="1" applyFill="1" applyBorder="1" applyAlignment="1" applyProtection="1">
      <alignment horizontal="center" vertical="center" wrapText="1"/>
      <protection hidden="1"/>
    </xf>
    <xf numFmtId="0" fontId="6" fillId="4" borderId="29" xfId="0" applyFont="1" applyFill="1" applyBorder="1" applyAlignment="1" applyProtection="1">
      <alignment horizontal="center" vertical="center" wrapText="1"/>
      <protection hidden="1"/>
    </xf>
    <xf numFmtId="0" fontId="5" fillId="0" borderId="0" xfId="0" applyFont="1" applyFill="1" applyBorder="1" applyAlignment="1" applyProtection="1">
      <alignment horizontal="center" wrapText="1"/>
      <protection hidden="1"/>
    </xf>
    <xf numFmtId="0" fontId="10" fillId="0" borderId="11" xfId="0" applyFont="1" applyFill="1" applyBorder="1" applyAlignment="1" applyProtection="1">
      <alignment horizontal="center" vertical="center" wrapText="1"/>
      <protection hidden="1"/>
    </xf>
    <xf numFmtId="0" fontId="11" fillId="0" borderId="107" xfId="0" applyFont="1" applyFill="1" applyBorder="1" applyAlignment="1" applyProtection="1">
      <alignment horizontal="center" vertical="center" wrapText="1"/>
      <protection hidden="1"/>
    </xf>
    <xf numFmtId="0" fontId="11" fillId="0" borderId="122" xfId="0" applyFont="1" applyFill="1" applyBorder="1" applyAlignment="1" applyProtection="1">
      <alignment horizontal="center" vertical="center" wrapText="1"/>
      <protection hidden="1"/>
    </xf>
    <xf numFmtId="10" fontId="11" fillId="0" borderId="104" xfId="0" applyNumberFormat="1" applyFont="1" applyFill="1" applyBorder="1" applyAlignment="1" applyProtection="1">
      <alignment horizontal="center" vertical="center" wrapText="1"/>
      <protection hidden="1"/>
    </xf>
    <xf numFmtId="0" fontId="11" fillId="0" borderId="107" xfId="0" applyFont="1" applyFill="1" applyBorder="1" applyAlignment="1" applyProtection="1">
      <alignment horizontal="center" vertical="center"/>
      <protection hidden="1"/>
    </xf>
    <xf numFmtId="10" fontId="16" fillId="0" borderId="5" xfId="0" applyNumberFormat="1" applyFont="1" applyFill="1" applyBorder="1" applyAlignment="1" applyProtection="1">
      <alignment horizontal="center" vertical="center" wrapText="1"/>
      <protection hidden="1"/>
    </xf>
    <xf numFmtId="0" fontId="5" fillId="0" borderId="0" xfId="0" applyFont="1" applyFill="1" applyBorder="1" applyAlignment="1" applyProtection="1">
      <alignment horizontal="center" vertical="top" wrapText="1"/>
      <protection hidden="1"/>
    </xf>
    <xf numFmtId="0" fontId="11" fillId="0" borderId="133" xfId="1" applyFont="1" applyFill="1" applyBorder="1" applyAlignment="1" applyProtection="1">
      <alignment horizontal="center" vertical="center" wrapText="1"/>
      <protection hidden="1"/>
    </xf>
    <xf numFmtId="0" fontId="47" fillId="0" borderId="5" xfId="0" applyFont="1" applyFill="1" applyBorder="1" applyAlignment="1" applyProtection="1">
      <alignment horizontal="center" vertical="center" wrapText="1"/>
      <protection hidden="1"/>
    </xf>
    <xf numFmtId="0" fontId="47" fillId="0" borderId="11" xfId="0" applyFont="1" applyFill="1" applyBorder="1" applyAlignment="1" applyProtection="1">
      <alignment horizontal="center" vertical="center" wrapText="1"/>
      <protection hidden="1"/>
    </xf>
    <xf numFmtId="0" fontId="47" fillId="0" borderId="2" xfId="0" applyFont="1" applyFill="1" applyBorder="1" applyAlignment="1" applyProtection="1">
      <alignment horizontal="center" vertical="center" wrapText="1"/>
      <protection hidden="1"/>
    </xf>
    <xf numFmtId="0" fontId="10" fillId="0" borderId="141" xfId="0" applyFont="1" applyBorder="1" applyAlignment="1" applyProtection="1">
      <alignment horizontal="center" vertical="center" wrapText="1"/>
      <protection hidden="1"/>
    </xf>
    <xf numFmtId="0" fontId="16" fillId="3" borderId="5" xfId="0" applyFont="1" applyFill="1" applyBorder="1" applyAlignment="1" applyProtection="1">
      <alignment horizontal="center" vertical="center" wrapText="1"/>
      <protection hidden="1"/>
    </xf>
    <xf numFmtId="0" fontId="16" fillId="3" borderId="11" xfId="0" applyFont="1" applyFill="1" applyBorder="1" applyAlignment="1" applyProtection="1">
      <alignment horizontal="center" vertical="center" wrapText="1"/>
      <protection hidden="1"/>
    </xf>
    <xf numFmtId="0" fontId="10" fillId="0" borderId="142" xfId="0" applyFont="1" applyBorder="1" applyAlignment="1" applyProtection="1">
      <alignment horizontal="right" vertical="center" wrapText="1"/>
      <protection hidden="1"/>
    </xf>
    <xf numFmtId="10" fontId="10" fillId="0" borderId="113" xfId="0" applyNumberFormat="1" applyFont="1" applyBorder="1" applyAlignment="1" applyProtection="1">
      <alignment horizontal="left" vertical="center" wrapText="1"/>
      <protection hidden="1"/>
    </xf>
    <xf numFmtId="10" fontId="10" fillId="0" borderId="124" xfId="0" applyNumberFormat="1" applyFont="1" applyBorder="1" applyAlignment="1" applyProtection="1">
      <alignment horizontal="left" vertical="center" wrapText="1"/>
      <protection hidden="1"/>
    </xf>
    <xf numFmtId="0" fontId="14" fillId="6" borderId="5" xfId="0" applyFont="1" applyFill="1" applyBorder="1" applyAlignment="1" applyProtection="1">
      <alignment horizontal="center" vertical="center"/>
      <protection hidden="1"/>
    </xf>
    <xf numFmtId="0" fontId="14" fillId="6" borderId="11" xfId="0" applyFont="1" applyFill="1" applyBorder="1" applyAlignment="1" applyProtection="1">
      <alignment horizontal="center" vertical="center"/>
      <protection hidden="1"/>
    </xf>
    <xf numFmtId="0" fontId="14" fillId="6" borderId="2" xfId="0" applyFont="1" applyFill="1" applyBorder="1" applyAlignment="1" applyProtection="1">
      <alignment horizontal="center" vertical="center"/>
      <protection hidden="1"/>
    </xf>
    <xf numFmtId="0" fontId="26" fillId="23" borderId="0" xfId="0" applyFont="1" applyFill="1" applyBorder="1" applyAlignment="1" applyProtection="1">
      <alignment vertical="center" wrapText="1"/>
      <protection hidden="1"/>
    </xf>
    <xf numFmtId="0" fontId="134" fillId="22" borderId="9" xfId="0" applyFont="1" applyFill="1" applyBorder="1" applyAlignment="1" applyProtection="1">
      <alignment horizontal="center" vertical="center" wrapText="1"/>
      <protection hidden="1"/>
    </xf>
    <xf numFmtId="0" fontId="134" fillId="22" borderId="0" xfId="0" applyFont="1" applyFill="1" applyBorder="1" applyAlignment="1" applyProtection="1">
      <alignment horizontal="center" vertical="center" wrapText="1"/>
      <protection hidden="1"/>
    </xf>
    <xf numFmtId="0" fontId="14" fillId="6" borderId="5" xfId="0" applyNumberFormat="1" applyFont="1" applyFill="1" applyBorder="1" applyAlignment="1" applyProtection="1">
      <alignment horizontal="center" vertical="center"/>
      <protection hidden="1"/>
    </xf>
    <xf numFmtId="0" fontId="14" fillId="6" borderId="11" xfId="0" applyNumberFormat="1" applyFont="1" applyFill="1" applyBorder="1" applyAlignment="1" applyProtection="1">
      <alignment horizontal="center" vertical="center"/>
      <protection hidden="1"/>
    </xf>
    <xf numFmtId="0" fontId="14" fillId="6" borderId="2" xfId="0" applyNumberFormat="1" applyFont="1" applyFill="1" applyBorder="1" applyAlignment="1" applyProtection="1">
      <alignment horizontal="center" vertical="center"/>
      <protection hidden="1"/>
    </xf>
    <xf numFmtId="0" fontId="12" fillId="3" borderId="5" xfId="0" applyFont="1" applyFill="1" applyBorder="1" applyAlignment="1" applyProtection="1">
      <alignment horizontal="center" vertical="center"/>
      <protection hidden="1"/>
    </xf>
    <xf numFmtId="0" fontId="12" fillId="3" borderId="11" xfId="0" applyFont="1" applyFill="1" applyBorder="1" applyAlignment="1" applyProtection="1">
      <alignment horizontal="center" vertical="center"/>
      <protection hidden="1"/>
    </xf>
    <xf numFmtId="0" fontId="12" fillId="3" borderId="2" xfId="0" applyFont="1" applyFill="1" applyBorder="1" applyAlignment="1" applyProtection="1">
      <alignment horizontal="center" vertical="center"/>
      <protection hidden="1"/>
    </xf>
    <xf numFmtId="0" fontId="12" fillId="0" borderId="5" xfId="0" applyFont="1" applyFill="1" applyBorder="1" applyAlignment="1" applyProtection="1">
      <alignment horizontal="center" vertical="center" wrapText="1"/>
      <protection hidden="1"/>
    </xf>
    <xf numFmtId="0" fontId="12" fillId="0" borderId="11" xfId="0" applyFont="1" applyFill="1" applyBorder="1" applyAlignment="1" applyProtection="1">
      <alignment horizontal="center" vertical="center" wrapText="1"/>
      <protection hidden="1"/>
    </xf>
    <xf numFmtId="0" fontId="12" fillId="0" borderId="2" xfId="0" applyFont="1" applyFill="1" applyBorder="1" applyAlignment="1" applyProtection="1">
      <alignment horizontal="center" vertical="center" wrapText="1"/>
      <protection hidden="1"/>
    </xf>
    <xf numFmtId="0" fontId="10" fillId="3" borderId="13" xfId="0" applyFont="1" applyFill="1" applyBorder="1" applyAlignment="1" applyProtection="1">
      <alignment horizontal="center" vertical="center" wrapText="1"/>
      <protection hidden="1"/>
    </xf>
    <xf numFmtId="0" fontId="10" fillId="3" borderId="15" xfId="0" applyFont="1" applyFill="1" applyBorder="1" applyAlignment="1" applyProtection="1">
      <alignment horizontal="center" vertical="center" wrapText="1"/>
      <protection hidden="1"/>
    </xf>
    <xf numFmtId="0" fontId="10" fillId="3" borderId="116" xfId="0" applyFont="1" applyFill="1" applyBorder="1" applyAlignment="1" applyProtection="1">
      <alignment horizontal="center" vertical="center" wrapText="1"/>
      <protection hidden="1"/>
    </xf>
    <xf numFmtId="0" fontId="12" fillId="3" borderId="1" xfId="0" applyFont="1" applyFill="1" applyBorder="1" applyAlignment="1" applyProtection="1">
      <alignment horizontal="center" vertical="center"/>
      <protection hidden="1"/>
    </xf>
    <xf numFmtId="0" fontId="12" fillId="0" borderId="5" xfId="0" applyFont="1" applyFill="1" applyBorder="1" applyAlignment="1" applyProtection="1">
      <alignment horizontal="center" vertical="center"/>
      <protection hidden="1"/>
    </xf>
    <xf numFmtId="0" fontId="12" fillId="0" borderId="11" xfId="0" applyFont="1" applyFill="1" applyBorder="1" applyAlignment="1" applyProtection="1">
      <alignment horizontal="center" vertical="center"/>
      <protection hidden="1"/>
    </xf>
    <xf numFmtId="0" fontId="64" fillId="2" borderId="10" xfId="0" applyFont="1" applyFill="1" applyBorder="1" applyAlignment="1" applyProtection="1">
      <alignment horizontal="left" vertical="top" wrapText="1"/>
      <protection hidden="1"/>
    </xf>
    <xf numFmtId="176" fontId="56" fillId="2" borderId="10" xfId="0" applyNumberFormat="1" applyFont="1" applyFill="1" applyBorder="1" applyAlignment="1" applyProtection="1">
      <alignment horizontal="center" vertical="center"/>
      <protection hidden="1"/>
    </xf>
    <xf numFmtId="0" fontId="30" fillId="10" borderId="11" xfId="0" applyFont="1" applyFill="1" applyBorder="1" applyAlignment="1" applyProtection="1">
      <alignment horizontal="center" vertical="center" wrapText="1"/>
      <protection hidden="1"/>
    </xf>
    <xf numFmtId="0" fontId="30" fillId="10" borderId="2" xfId="0" applyFont="1" applyFill="1" applyBorder="1" applyAlignment="1" applyProtection="1">
      <alignment horizontal="center" vertical="center" wrapText="1"/>
      <protection hidden="1"/>
    </xf>
    <xf numFmtId="0" fontId="16" fillId="2" borderId="13" xfId="0" applyFont="1" applyFill="1" applyBorder="1" applyAlignment="1" applyProtection="1">
      <alignment horizontal="center" vertical="center" wrapText="1"/>
      <protection hidden="1"/>
    </xf>
    <xf numFmtId="0" fontId="16" fillId="2" borderId="14" xfId="0" applyFont="1" applyFill="1" applyBorder="1" applyAlignment="1" applyProtection="1">
      <alignment horizontal="center" vertical="center" wrapText="1"/>
      <protection hidden="1"/>
    </xf>
    <xf numFmtId="0" fontId="50" fillId="8" borderId="1" xfId="0" applyFont="1" applyFill="1" applyBorder="1" applyAlignment="1" applyProtection="1">
      <alignment horizontal="center" vertical="center"/>
      <protection locked="0"/>
    </xf>
    <xf numFmtId="10" fontId="26" fillId="2" borderId="5" xfId="5" applyNumberFormat="1" applyFont="1" applyFill="1" applyBorder="1" applyAlignment="1" applyProtection="1">
      <alignment horizontal="center" vertical="center"/>
      <protection hidden="1"/>
    </xf>
    <xf numFmtId="10" fontId="26" fillId="2" borderId="2" xfId="5" applyNumberFormat="1" applyFont="1" applyFill="1" applyBorder="1" applyAlignment="1" applyProtection="1">
      <alignment horizontal="center" vertical="center"/>
      <protection hidden="1"/>
    </xf>
    <xf numFmtId="177" fontId="99" fillId="2" borderId="1" xfId="0" applyNumberFormat="1" applyFont="1" applyFill="1" applyBorder="1" applyAlignment="1" applyProtection="1">
      <alignment horizontal="center" vertical="center"/>
      <protection hidden="1"/>
    </xf>
    <xf numFmtId="0" fontId="124" fillId="2" borderId="7" xfId="0" applyFont="1" applyFill="1" applyBorder="1" applyAlignment="1" applyProtection="1">
      <alignment horizontal="center" vertical="center" wrapText="1"/>
      <protection hidden="1"/>
    </xf>
    <xf numFmtId="0" fontId="124" fillId="2" borderId="8" xfId="0" applyFont="1" applyFill="1" applyBorder="1" applyAlignment="1" applyProtection="1">
      <alignment horizontal="center" vertical="center" wrapText="1"/>
      <protection hidden="1"/>
    </xf>
    <xf numFmtId="0" fontId="124" fillId="2" borderId="12" xfId="0" applyFont="1" applyFill="1" applyBorder="1" applyAlignment="1" applyProtection="1">
      <alignment horizontal="center" vertical="center" wrapText="1"/>
      <protection hidden="1"/>
    </xf>
    <xf numFmtId="0" fontId="124" fillId="2" borderId="4" xfId="0" applyFont="1" applyFill="1" applyBorder="1" applyAlignment="1" applyProtection="1">
      <alignment horizontal="center" vertical="center" wrapText="1"/>
      <protection hidden="1"/>
    </xf>
    <xf numFmtId="176" fontId="52" fillId="11" borderId="1" xfId="0" applyNumberFormat="1" applyFont="1" applyFill="1" applyBorder="1" applyAlignment="1" applyProtection="1">
      <alignment horizontal="center" vertical="center"/>
      <protection hidden="1"/>
    </xf>
    <xf numFmtId="180" fontId="54" fillId="2" borderId="1" xfId="0" applyNumberFormat="1" applyFont="1" applyFill="1" applyBorder="1" applyAlignment="1" applyProtection="1">
      <alignment horizontal="center" vertical="center"/>
      <protection hidden="1"/>
    </xf>
    <xf numFmtId="0" fontId="120" fillId="2" borderId="0" xfId="1" applyFont="1" applyFill="1" applyAlignment="1" applyProtection="1">
      <alignment horizontal="center" vertical="center"/>
      <protection locked="0"/>
    </xf>
    <xf numFmtId="177" fontId="35" fillId="8" borderId="1" xfId="3" applyNumberFormat="1" applyFont="1" applyFill="1" applyBorder="1" applyAlignment="1" applyProtection="1">
      <alignment horizontal="center" vertical="center"/>
      <protection locked="0"/>
    </xf>
    <xf numFmtId="0" fontId="30" fillId="8" borderId="1" xfId="0" applyFont="1" applyFill="1" applyBorder="1" applyAlignment="1" applyProtection="1">
      <alignment horizontal="center" vertical="center" wrapText="1"/>
      <protection locked="0"/>
    </xf>
    <xf numFmtId="0" fontId="30" fillId="8" borderId="1" xfId="0" applyFont="1" applyFill="1" applyBorder="1" applyAlignment="1" applyProtection="1">
      <alignment horizontal="center" vertical="center"/>
      <protection locked="0"/>
    </xf>
    <xf numFmtId="0" fontId="5" fillId="2" borderId="1" xfId="3" applyFont="1" applyFill="1" applyBorder="1" applyAlignment="1" applyProtection="1">
      <alignment horizontal="center" vertical="center"/>
      <protection hidden="1"/>
    </xf>
    <xf numFmtId="0" fontId="16" fillId="21" borderId="0" xfId="0" applyFont="1" applyFill="1" applyBorder="1" applyAlignment="1" applyProtection="1">
      <alignment horizontal="left" vertical="center" wrapText="1"/>
      <protection hidden="1"/>
    </xf>
    <xf numFmtId="0" fontId="31" fillId="2" borderId="9" xfId="0" applyFont="1" applyFill="1" applyBorder="1" applyAlignment="1" applyProtection="1">
      <alignment horizontal="left" vertical="center" wrapText="1"/>
      <protection hidden="1"/>
    </xf>
    <xf numFmtId="0" fontId="31" fillId="2" borderId="0" xfId="0" applyFont="1" applyFill="1" applyBorder="1" applyAlignment="1" applyProtection="1">
      <alignment horizontal="left" vertical="center" wrapText="1"/>
      <protection hidden="1"/>
    </xf>
    <xf numFmtId="177" fontId="21" fillId="2" borderId="1" xfId="2" applyNumberFormat="1" applyFont="1" applyFill="1" applyBorder="1" applyAlignment="1" applyProtection="1">
      <alignment horizontal="center" vertical="center" wrapText="1"/>
      <protection hidden="1"/>
    </xf>
    <xf numFmtId="177" fontId="130" fillId="2" borderId="1" xfId="2" applyNumberFormat="1" applyFont="1" applyFill="1" applyBorder="1" applyAlignment="1" applyProtection="1">
      <alignment horizontal="center" vertical="center" wrapText="1"/>
      <protection hidden="1"/>
    </xf>
    <xf numFmtId="0" fontId="31" fillId="2" borderId="9" xfId="0" applyFont="1" applyFill="1" applyBorder="1" applyAlignment="1" applyProtection="1">
      <alignment horizontal="center" vertical="center" wrapText="1"/>
      <protection hidden="1"/>
    </xf>
    <xf numFmtId="0" fontId="31" fillId="2" borderId="0" xfId="0" applyFont="1" applyFill="1" applyBorder="1" applyAlignment="1" applyProtection="1">
      <alignment horizontal="center" vertical="center" wrapText="1"/>
      <protection hidden="1"/>
    </xf>
    <xf numFmtId="0" fontId="16" fillId="21" borderId="0" xfId="0" applyFont="1" applyFill="1" applyAlignment="1" applyProtection="1">
      <alignment horizontal="left" vertical="center" wrapText="1"/>
      <protection hidden="1"/>
    </xf>
    <xf numFmtId="0" fontId="120" fillId="2" borderId="0" xfId="1" applyFont="1" applyFill="1" applyAlignment="1" applyProtection="1">
      <alignment horizontal="left" vertical="center"/>
      <protection locked="0"/>
    </xf>
    <xf numFmtId="8" fontId="10" fillId="2" borderId="1" xfId="0" applyNumberFormat="1" applyFont="1" applyFill="1" applyBorder="1" applyAlignment="1" applyProtection="1">
      <alignment horizontal="center" vertical="center"/>
      <protection hidden="1"/>
    </xf>
    <xf numFmtId="0" fontId="31" fillId="2" borderId="10" xfId="0" applyFont="1" applyFill="1" applyBorder="1" applyAlignment="1" applyProtection="1">
      <alignment horizontal="center" vertical="top"/>
      <protection hidden="1"/>
    </xf>
    <xf numFmtId="177" fontId="35" fillId="8" borderId="1" xfId="2" applyNumberFormat="1" applyFont="1" applyFill="1" applyBorder="1" applyAlignment="1" applyProtection="1">
      <alignment horizontal="center" vertical="center" wrapText="1"/>
      <protection locked="0"/>
    </xf>
    <xf numFmtId="0" fontId="30" fillId="10" borderId="131" xfId="0" applyFont="1" applyFill="1" applyBorder="1" applyAlignment="1" applyProtection="1">
      <alignment horizontal="center" vertical="center" wrapText="1"/>
      <protection hidden="1"/>
    </xf>
    <xf numFmtId="0" fontId="30" fillId="10" borderId="6" xfId="0" applyFont="1" applyFill="1" applyBorder="1" applyAlignment="1" applyProtection="1">
      <alignment horizontal="center" vertical="center" wrapText="1"/>
      <protection hidden="1"/>
    </xf>
    <xf numFmtId="0" fontId="125" fillId="2" borderId="5" xfId="0" applyFont="1" applyFill="1" applyBorder="1" applyAlignment="1" applyProtection="1">
      <alignment horizontal="center" vertical="center" wrapText="1"/>
      <protection hidden="1"/>
    </xf>
    <xf numFmtId="0" fontId="125" fillId="2" borderId="11" xfId="0" applyFont="1" applyFill="1" applyBorder="1" applyAlignment="1" applyProtection="1">
      <alignment horizontal="center" vertical="center" wrapText="1"/>
      <protection hidden="1"/>
    </xf>
    <xf numFmtId="0" fontId="125" fillId="2" borderId="2" xfId="0" applyFont="1" applyFill="1" applyBorder="1" applyAlignment="1" applyProtection="1">
      <alignment horizontal="center" vertical="center" wrapText="1"/>
      <protection hidden="1"/>
    </xf>
    <xf numFmtId="177" fontId="99" fillId="21" borderId="5" xfId="0" applyNumberFormat="1" applyFont="1" applyFill="1" applyBorder="1" applyAlignment="1" applyProtection="1">
      <alignment horizontal="center" vertical="center"/>
      <protection hidden="1"/>
    </xf>
    <xf numFmtId="177" fontId="99" fillId="21" borderId="11" xfId="0" applyNumberFormat="1" applyFont="1" applyFill="1" applyBorder="1" applyAlignment="1" applyProtection="1">
      <alignment horizontal="center" vertical="center"/>
      <protection hidden="1"/>
    </xf>
    <xf numFmtId="177" fontId="99" fillId="21" borderId="2" xfId="0" applyNumberFormat="1" applyFont="1" applyFill="1" applyBorder="1" applyAlignment="1" applyProtection="1">
      <alignment horizontal="center" vertical="center"/>
      <protection hidden="1"/>
    </xf>
    <xf numFmtId="180" fontId="54" fillId="2" borderId="5" xfId="0" applyNumberFormat="1" applyFont="1" applyFill="1" applyBorder="1" applyAlignment="1" applyProtection="1">
      <alignment horizontal="center" vertical="center"/>
      <protection hidden="1"/>
    </xf>
    <xf numFmtId="176" fontId="151" fillId="2" borderId="29" xfId="0" applyNumberFormat="1" applyFont="1" applyFill="1" applyBorder="1" applyAlignment="1" applyProtection="1">
      <alignment horizontal="center" vertical="center"/>
      <protection hidden="1"/>
    </xf>
    <xf numFmtId="0" fontId="30" fillId="10" borderId="112" xfId="0" applyFont="1" applyFill="1" applyBorder="1" applyAlignment="1" applyProtection="1">
      <alignment horizontal="center" vertical="center" wrapText="1"/>
      <protection hidden="1"/>
    </xf>
    <xf numFmtId="0" fontId="31" fillId="2" borderId="0" xfId="0" applyFont="1" applyFill="1" applyBorder="1" applyAlignment="1" applyProtection="1">
      <alignment horizontal="center" vertical="top"/>
      <protection hidden="1"/>
    </xf>
    <xf numFmtId="177" fontId="35" fillId="8" borderId="13" xfId="3" applyNumberFormat="1" applyFont="1" applyFill="1" applyBorder="1" applyAlignment="1" applyProtection="1">
      <alignment horizontal="center" vertical="center"/>
      <protection locked="0"/>
    </xf>
    <xf numFmtId="177" fontId="35" fillId="8" borderId="14" xfId="3" applyNumberFormat="1" applyFont="1" applyFill="1" applyBorder="1" applyAlignment="1" applyProtection="1">
      <alignment horizontal="center" vertical="center"/>
      <protection locked="0"/>
    </xf>
    <xf numFmtId="177" fontId="5" fillId="2" borderId="1" xfId="3" applyNumberFormat="1" applyFont="1" applyFill="1" applyBorder="1" applyAlignment="1" applyProtection="1">
      <alignment horizontal="center" vertical="center"/>
      <protection hidden="1"/>
    </xf>
    <xf numFmtId="0" fontId="125" fillId="2" borderId="1" xfId="0" applyFont="1" applyFill="1" applyBorder="1" applyAlignment="1" applyProtection="1">
      <alignment horizontal="center" vertical="center" wrapText="1"/>
      <protection hidden="1"/>
    </xf>
    <xf numFmtId="0" fontId="31" fillId="2" borderId="9" xfId="0" applyFont="1" applyFill="1" applyBorder="1" applyAlignment="1" applyProtection="1">
      <alignment horizontal="left" vertical="center"/>
      <protection hidden="1"/>
    </xf>
    <xf numFmtId="0" fontId="31" fillId="2" borderId="0" xfId="0" applyFont="1" applyFill="1" applyAlignment="1" applyProtection="1">
      <alignment horizontal="left" vertical="center"/>
      <protection hidden="1"/>
    </xf>
    <xf numFmtId="0" fontId="44" fillId="10" borderId="21" xfId="0" applyFont="1" applyFill="1" applyBorder="1" applyAlignment="1" applyProtection="1">
      <alignment horizontal="center" vertical="center" wrapText="1"/>
      <protection hidden="1"/>
    </xf>
    <xf numFmtId="0" fontId="44" fillId="10" borderId="22" xfId="0" applyFont="1" applyFill="1" applyBorder="1" applyAlignment="1" applyProtection="1">
      <alignment horizontal="center" vertical="center" wrapText="1"/>
      <protection hidden="1"/>
    </xf>
    <xf numFmtId="0" fontId="125" fillId="2" borderId="30" xfId="0" applyFont="1" applyFill="1" applyBorder="1" applyAlignment="1" applyProtection="1">
      <alignment horizontal="center" vertical="center" wrapText="1"/>
      <protection hidden="1"/>
    </xf>
    <xf numFmtId="0" fontId="125" fillId="2" borderId="16" xfId="0" applyFont="1" applyFill="1" applyBorder="1" applyAlignment="1" applyProtection="1">
      <alignment horizontal="center" vertical="center" wrapText="1"/>
      <protection hidden="1"/>
    </xf>
    <xf numFmtId="177" fontId="113" fillId="2" borderId="0" xfId="2" applyNumberFormat="1" applyFont="1" applyFill="1" applyBorder="1" applyAlignment="1" applyProtection="1">
      <alignment horizontal="center" vertical="center" wrapText="1"/>
      <protection hidden="1"/>
    </xf>
    <xf numFmtId="0" fontId="30" fillId="10" borderId="1" xfId="0" applyFont="1" applyFill="1" applyBorder="1" applyAlignment="1" applyProtection="1">
      <alignment horizontal="center" vertical="center" wrapText="1"/>
      <protection hidden="1"/>
    </xf>
    <xf numFmtId="176" fontId="127" fillId="2" borderId="29" xfId="0" applyNumberFormat="1" applyFont="1" applyFill="1" applyBorder="1" applyAlignment="1" applyProtection="1">
      <alignment horizontal="center" vertical="center"/>
      <protection hidden="1"/>
    </xf>
    <xf numFmtId="196" fontId="35" fillId="8" borderId="1" xfId="0" applyNumberFormat="1" applyFont="1" applyFill="1" applyBorder="1" applyAlignment="1" applyProtection="1">
      <alignment horizontal="center" vertical="center"/>
      <protection locked="0"/>
    </xf>
    <xf numFmtId="0" fontId="133" fillId="2" borderId="9" xfId="0" applyFont="1" applyFill="1" applyBorder="1" applyAlignment="1" applyProtection="1">
      <alignment horizontal="left" vertical="center" wrapText="1"/>
      <protection hidden="1"/>
    </xf>
    <xf numFmtId="0" fontId="133" fillId="2" borderId="0" xfId="0" applyFont="1" applyFill="1" applyBorder="1" applyAlignment="1" applyProtection="1">
      <alignment horizontal="left" vertical="center" wrapText="1"/>
      <protection hidden="1"/>
    </xf>
    <xf numFmtId="0" fontId="30" fillId="10" borderId="0" xfId="0" applyFont="1" applyFill="1" applyBorder="1" applyAlignment="1" applyProtection="1">
      <alignment horizontal="center" vertical="center" wrapText="1"/>
      <protection hidden="1"/>
    </xf>
    <xf numFmtId="0" fontId="30" fillId="10" borderId="3" xfId="0" applyFont="1" applyFill="1" applyBorder="1" applyAlignment="1" applyProtection="1">
      <alignment horizontal="center" vertical="center" wrapText="1"/>
      <protection hidden="1"/>
    </xf>
    <xf numFmtId="176" fontId="12" fillId="11" borderId="5" xfId="0" applyNumberFormat="1" applyFont="1" applyFill="1" applyBorder="1" applyAlignment="1" applyProtection="1">
      <alignment horizontal="center" vertical="center"/>
      <protection hidden="1"/>
    </xf>
    <xf numFmtId="176" fontId="12" fillId="11" borderId="2" xfId="0" applyNumberFormat="1" applyFont="1" applyFill="1" applyBorder="1" applyAlignment="1" applyProtection="1">
      <alignment horizontal="center" vertical="center"/>
      <protection hidden="1"/>
    </xf>
    <xf numFmtId="177" fontId="16" fillId="9" borderId="5" xfId="0" applyNumberFormat="1" applyFont="1" applyFill="1" applyBorder="1" applyAlignment="1" applyProtection="1">
      <alignment horizontal="center" vertical="center"/>
      <protection hidden="1"/>
    </xf>
    <xf numFmtId="177" fontId="16" fillId="9" borderId="2" xfId="0" applyNumberFormat="1" applyFont="1" applyFill="1" applyBorder="1" applyAlignment="1" applyProtection="1">
      <alignment horizontal="center" vertical="center"/>
      <protection hidden="1"/>
    </xf>
    <xf numFmtId="176" fontId="21" fillId="11" borderId="5" xfId="0" applyNumberFormat="1" applyFont="1" applyFill="1" applyBorder="1" applyAlignment="1" applyProtection="1">
      <alignment horizontal="center" vertical="center"/>
      <protection hidden="1"/>
    </xf>
    <xf numFmtId="176" fontId="21" fillId="11" borderId="11" xfId="0" applyNumberFormat="1" applyFont="1" applyFill="1" applyBorder="1" applyAlignment="1" applyProtection="1">
      <alignment horizontal="center" vertical="center"/>
      <protection hidden="1"/>
    </xf>
    <xf numFmtId="176" fontId="21" fillId="11" borderId="2" xfId="0" applyNumberFormat="1" applyFont="1" applyFill="1" applyBorder="1" applyAlignment="1" applyProtection="1">
      <alignment horizontal="center" vertical="center"/>
      <protection hidden="1"/>
    </xf>
    <xf numFmtId="176" fontId="56" fillId="2" borderId="0" xfId="0" applyNumberFormat="1" applyFont="1" applyFill="1" applyBorder="1" applyAlignment="1" applyProtection="1">
      <alignment horizontal="center" vertical="center"/>
      <protection hidden="1"/>
    </xf>
    <xf numFmtId="0" fontId="48" fillId="2" borderId="5" xfId="0" applyFont="1" applyFill="1" applyBorder="1" applyAlignment="1" applyProtection="1">
      <alignment horizontal="center" vertical="center" wrapText="1"/>
      <protection hidden="1"/>
    </xf>
    <xf numFmtId="0" fontId="48" fillId="2" borderId="2" xfId="0" applyFont="1" applyFill="1" applyBorder="1" applyAlignment="1" applyProtection="1">
      <alignment horizontal="center" vertical="center" wrapText="1"/>
      <protection hidden="1"/>
    </xf>
    <xf numFmtId="0" fontId="48" fillId="2" borderId="5" xfId="0" applyFont="1" applyFill="1" applyBorder="1" applyAlignment="1" applyProtection="1">
      <alignment horizontal="center" vertical="center"/>
      <protection hidden="1"/>
    </xf>
    <xf numFmtId="0" fontId="48" fillId="2" borderId="11" xfId="0" applyFont="1" applyFill="1" applyBorder="1" applyAlignment="1" applyProtection="1">
      <alignment horizontal="center" vertical="center"/>
      <protection hidden="1"/>
    </xf>
    <xf numFmtId="0" fontId="48" fillId="2" borderId="2" xfId="0" applyFont="1" applyFill="1" applyBorder="1" applyAlignment="1" applyProtection="1">
      <alignment horizontal="center" vertical="center"/>
      <protection hidden="1"/>
    </xf>
    <xf numFmtId="180" fontId="57" fillId="2" borderId="1" xfId="0" applyNumberFormat="1" applyFont="1" applyFill="1" applyBorder="1" applyAlignment="1" applyProtection="1">
      <alignment horizontal="center" vertical="center"/>
      <protection hidden="1"/>
    </xf>
    <xf numFmtId="177" fontId="99" fillId="21" borderId="1" xfId="0" applyNumberFormat="1" applyFont="1" applyFill="1" applyBorder="1" applyAlignment="1" applyProtection="1">
      <alignment horizontal="center" vertical="center"/>
      <protection hidden="1"/>
    </xf>
    <xf numFmtId="0" fontId="30" fillId="10" borderId="30" xfId="0" applyFont="1" applyFill="1" applyBorder="1" applyAlignment="1" applyProtection="1">
      <alignment horizontal="center" vertical="center" wrapText="1"/>
      <protection hidden="1"/>
    </xf>
    <xf numFmtId="0" fontId="30" fillId="10" borderId="31" xfId="0" applyFont="1" applyFill="1" applyBorder="1" applyAlignment="1" applyProtection="1">
      <alignment horizontal="center" vertical="center" wrapText="1"/>
      <protection hidden="1"/>
    </xf>
    <xf numFmtId="0" fontId="30" fillId="10" borderId="16" xfId="0" applyFont="1" applyFill="1" applyBorder="1" applyAlignment="1" applyProtection="1">
      <alignment horizontal="center" vertical="center" wrapText="1"/>
      <protection hidden="1"/>
    </xf>
    <xf numFmtId="0" fontId="11" fillId="3" borderId="38" xfId="0" applyFont="1" applyFill="1" applyBorder="1" applyAlignment="1" applyProtection="1">
      <alignment horizontal="left" vertical="center" wrapText="1"/>
      <protection hidden="1"/>
    </xf>
    <xf numFmtId="0" fontId="11" fillId="3" borderId="39" xfId="0" applyFont="1" applyFill="1" applyBorder="1" applyAlignment="1" applyProtection="1">
      <alignment horizontal="left" vertical="center" wrapText="1"/>
      <protection hidden="1"/>
    </xf>
    <xf numFmtId="0" fontId="11" fillId="3" borderId="40" xfId="0" applyFont="1" applyFill="1" applyBorder="1" applyAlignment="1" applyProtection="1">
      <alignment horizontal="left" vertical="center" wrapText="1"/>
      <protection hidden="1"/>
    </xf>
    <xf numFmtId="176" fontId="35" fillId="8" borderId="1" xfId="0" applyNumberFormat="1" applyFont="1" applyFill="1" applyBorder="1" applyAlignment="1" applyProtection="1">
      <alignment horizontal="center" vertical="center"/>
      <protection locked="0"/>
    </xf>
    <xf numFmtId="0" fontId="19" fillId="0" borderId="1" xfId="0" applyFont="1" applyBorder="1" applyAlignment="1">
      <alignment horizontal="center" vertical="center"/>
    </xf>
    <xf numFmtId="0" fontId="12" fillId="0" borderId="1" xfId="0" applyFont="1" applyFill="1" applyBorder="1" applyAlignment="1" applyProtection="1">
      <alignment horizontal="center" vertical="center" wrapText="1"/>
      <protection hidden="1"/>
    </xf>
    <xf numFmtId="0" fontId="12" fillId="0" borderId="1" xfId="0" applyFont="1" applyFill="1" applyBorder="1" applyAlignment="1" applyProtection="1">
      <alignment horizontal="center" vertical="center"/>
      <protection hidden="1"/>
    </xf>
    <xf numFmtId="0" fontId="12" fillId="0" borderId="1" xfId="0" applyFont="1" applyFill="1" applyBorder="1" applyAlignment="1">
      <alignment horizontal="center" vertical="center" wrapText="1"/>
    </xf>
    <xf numFmtId="0" fontId="46" fillId="3" borderId="5" xfId="0" applyFont="1" applyFill="1" applyBorder="1" applyAlignment="1" applyProtection="1">
      <alignment horizontal="center" vertical="center"/>
      <protection hidden="1"/>
    </xf>
    <xf numFmtId="0" fontId="46" fillId="3" borderId="11" xfId="0" applyFont="1" applyFill="1" applyBorder="1" applyAlignment="1" applyProtection="1">
      <alignment horizontal="center" vertical="center"/>
      <protection hidden="1"/>
    </xf>
    <xf numFmtId="0" fontId="46" fillId="3" borderId="2" xfId="0" applyFont="1" applyFill="1" applyBorder="1" applyAlignment="1" applyProtection="1">
      <alignment horizontal="center" vertical="center"/>
      <protection hidden="1"/>
    </xf>
    <xf numFmtId="0" fontId="61" fillId="0" borderId="1" xfId="0" applyFont="1" applyBorder="1" applyAlignment="1" applyProtection="1">
      <alignment horizontal="center" vertical="center" wrapText="1"/>
      <protection hidden="1"/>
    </xf>
    <xf numFmtId="0" fontId="61" fillId="0" borderId="1" xfId="0" applyFont="1" applyBorder="1" applyAlignment="1" applyProtection="1">
      <alignment horizontal="center" vertical="center"/>
      <protection hidden="1"/>
    </xf>
    <xf numFmtId="0" fontId="61" fillId="3" borderId="5" xfId="0" applyFont="1" applyFill="1" applyBorder="1" applyAlignment="1" applyProtection="1">
      <alignment horizontal="center" vertical="center"/>
      <protection hidden="1"/>
    </xf>
    <xf numFmtId="0" fontId="61" fillId="3" borderId="11" xfId="0" applyFont="1" applyFill="1" applyBorder="1" applyAlignment="1" applyProtection="1">
      <alignment horizontal="center" vertical="center"/>
      <protection hidden="1"/>
    </xf>
    <xf numFmtId="0" fontId="61" fillId="3" borderId="2" xfId="0" applyFont="1" applyFill="1" applyBorder="1" applyAlignment="1" applyProtection="1">
      <alignment horizontal="center" vertical="center"/>
      <protection hidden="1"/>
    </xf>
    <xf numFmtId="0" fontId="61" fillId="3" borderId="1" xfId="0" applyFont="1" applyFill="1" applyBorder="1" applyAlignment="1" applyProtection="1">
      <alignment horizontal="center" vertical="center"/>
      <protection hidden="1"/>
    </xf>
    <xf numFmtId="0" fontId="61" fillId="0" borderId="1" xfId="0" applyFont="1" applyBorder="1" applyAlignment="1">
      <alignment horizontal="center" vertical="center" wrapText="1"/>
    </xf>
    <xf numFmtId="0" fontId="60" fillId="22" borderId="23" xfId="0" applyFont="1" applyFill="1" applyBorder="1" applyAlignment="1">
      <alignment horizontal="center"/>
    </xf>
    <xf numFmtId="0" fontId="60" fillId="22" borderId="19" xfId="0" applyFont="1" applyFill="1" applyBorder="1" applyAlignment="1">
      <alignment horizontal="center"/>
    </xf>
    <xf numFmtId="0" fontId="60" fillId="0" borderId="0" xfId="0" applyFont="1" applyAlignment="1">
      <alignment horizontal="center"/>
    </xf>
    <xf numFmtId="0" fontId="60" fillId="0" borderId="3" xfId="0" applyFont="1" applyBorder="1" applyAlignment="1">
      <alignment horizontal="center"/>
    </xf>
    <xf numFmtId="177" fontId="12" fillId="2" borderId="0" xfId="2" applyNumberFormat="1" applyFont="1" applyFill="1" applyBorder="1" applyAlignment="1" applyProtection="1">
      <alignment horizontal="center" vertical="center" wrapText="1"/>
      <protection hidden="1"/>
    </xf>
    <xf numFmtId="0" fontId="136" fillId="2" borderId="10" xfId="0" applyFont="1" applyFill="1" applyBorder="1" applyAlignment="1" applyProtection="1">
      <alignment horizontal="left" vertical="top"/>
      <protection hidden="1"/>
    </xf>
    <xf numFmtId="188" fontId="16" fillId="2" borderId="1" xfId="3" applyNumberFormat="1" applyFont="1" applyFill="1" applyBorder="1" applyAlignment="1" applyProtection="1">
      <alignment horizontal="center" vertical="center"/>
      <protection hidden="1"/>
    </xf>
    <xf numFmtId="10" fontId="16" fillId="2" borderId="5" xfId="0" applyNumberFormat="1" applyFont="1" applyFill="1" applyBorder="1" applyAlignment="1" applyProtection="1">
      <alignment horizontal="center" vertical="center" wrapText="1"/>
      <protection hidden="1"/>
    </xf>
    <xf numFmtId="10" fontId="16" fillId="2" borderId="11" xfId="0" applyNumberFormat="1" applyFont="1" applyFill="1" applyBorder="1" applyAlignment="1" applyProtection="1">
      <alignment horizontal="center" vertical="center" wrapText="1"/>
      <protection hidden="1"/>
    </xf>
    <xf numFmtId="10" fontId="16" fillId="2" borderId="2" xfId="0" applyNumberFormat="1" applyFont="1" applyFill="1" applyBorder="1" applyAlignment="1" applyProtection="1">
      <alignment horizontal="center" vertical="center" wrapText="1"/>
      <protection hidden="1"/>
    </xf>
    <xf numFmtId="10" fontId="16" fillId="2" borderId="1" xfId="0" applyNumberFormat="1" applyFont="1" applyFill="1" applyBorder="1" applyAlignment="1" applyProtection="1">
      <alignment horizontal="center" vertical="center"/>
      <protection hidden="1"/>
    </xf>
    <xf numFmtId="10" fontId="16" fillId="2" borderId="5" xfId="0" applyNumberFormat="1" applyFont="1" applyFill="1" applyBorder="1" applyAlignment="1" applyProtection="1">
      <alignment horizontal="center" vertical="center"/>
      <protection hidden="1"/>
    </xf>
    <xf numFmtId="10" fontId="16" fillId="2" borderId="11" xfId="0" applyNumberFormat="1" applyFont="1" applyFill="1" applyBorder="1" applyAlignment="1" applyProtection="1">
      <alignment horizontal="center" vertical="center"/>
      <protection hidden="1"/>
    </xf>
    <xf numFmtId="10" fontId="16" fillId="2" borderId="2" xfId="0" applyNumberFormat="1" applyFont="1" applyFill="1" applyBorder="1" applyAlignment="1" applyProtection="1">
      <alignment horizontal="center" vertical="center"/>
      <protection hidden="1"/>
    </xf>
    <xf numFmtId="177" fontId="16" fillId="2" borderId="5" xfId="0" applyNumberFormat="1" applyFont="1" applyFill="1" applyBorder="1" applyAlignment="1" applyProtection="1">
      <alignment horizontal="center" vertical="center"/>
      <protection hidden="1"/>
    </xf>
    <xf numFmtId="177" fontId="16" fillId="2" borderId="11" xfId="0" applyNumberFormat="1" applyFont="1" applyFill="1" applyBorder="1" applyAlignment="1" applyProtection="1">
      <alignment horizontal="center" vertical="center"/>
      <protection hidden="1"/>
    </xf>
    <xf numFmtId="177" fontId="16" fillId="2" borderId="2" xfId="0" applyNumberFormat="1" applyFont="1" applyFill="1" applyBorder="1" applyAlignment="1" applyProtection="1">
      <alignment horizontal="center" vertical="center"/>
      <protection hidden="1"/>
    </xf>
    <xf numFmtId="1" fontId="16" fillId="2" borderId="7" xfId="0" applyNumberFormat="1" applyFont="1" applyFill="1" applyBorder="1" applyAlignment="1" applyProtection="1">
      <alignment horizontal="center" vertical="center"/>
      <protection hidden="1"/>
    </xf>
    <xf numFmtId="1" fontId="16" fillId="2" borderId="9" xfId="0" applyNumberFormat="1" applyFont="1" applyFill="1" applyBorder="1" applyAlignment="1" applyProtection="1">
      <alignment horizontal="center" vertical="center"/>
      <protection hidden="1"/>
    </xf>
    <xf numFmtId="1" fontId="16" fillId="2" borderId="12" xfId="0" applyNumberFormat="1" applyFont="1" applyFill="1" applyBorder="1" applyAlignment="1" applyProtection="1">
      <alignment horizontal="center" vertical="center"/>
      <protection hidden="1"/>
    </xf>
    <xf numFmtId="1" fontId="135" fillId="2" borderId="10" xfId="0" applyNumberFormat="1" applyFont="1" applyFill="1" applyBorder="1" applyAlignment="1" applyProtection="1">
      <alignment horizontal="center" vertical="center"/>
      <protection hidden="1"/>
    </xf>
    <xf numFmtId="1" fontId="135" fillId="2" borderId="8" xfId="0" applyNumberFormat="1" applyFont="1" applyFill="1" applyBorder="1" applyAlignment="1" applyProtection="1">
      <alignment horizontal="center" vertical="center"/>
      <protection hidden="1"/>
    </xf>
    <xf numFmtId="1" fontId="135" fillId="2" borderId="0" xfId="0" applyNumberFormat="1" applyFont="1" applyFill="1" applyAlignment="1" applyProtection="1">
      <alignment horizontal="center" vertical="center"/>
      <protection hidden="1"/>
    </xf>
    <xf numFmtId="1" fontId="135" fillId="2" borderId="6" xfId="0" applyNumberFormat="1" applyFont="1" applyFill="1" applyBorder="1" applyAlignment="1" applyProtection="1">
      <alignment horizontal="center" vertical="center"/>
      <protection hidden="1"/>
    </xf>
    <xf numFmtId="1" fontId="135" fillId="2" borderId="3" xfId="0" applyNumberFormat="1" applyFont="1" applyFill="1" applyBorder="1" applyAlignment="1" applyProtection="1">
      <alignment horizontal="center" vertical="center"/>
      <protection hidden="1"/>
    </xf>
    <xf numFmtId="1" fontId="135" fillId="2" borderId="4" xfId="0" applyNumberFormat="1" applyFont="1" applyFill="1" applyBorder="1" applyAlignment="1" applyProtection="1">
      <alignment horizontal="center" vertical="center"/>
      <protection hidden="1"/>
    </xf>
    <xf numFmtId="0" fontId="26" fillId="2" borderId="13" xfId="0" applyFont="1" applyFill="1" applyBorder="1" applyAlignment="1" applyProtection="1">
      <alignment horizontal="center" vertical="center" wrapText="1"/>
      <protection hidden="1"/>
    </xf>
    <xf numFmtId="0" fontId="26" fillId="2" borderId="14" xfId="0" applyFont="1" applyFill="1" applyBorder="1" applyAlignment="1" applyProtection="1">
      <alignment horizontal="center" vertical="center" wrapText="1"/>
      <protection hidden="1"/>
    </xf>
    <xf numFmtId="176" fontId="26" fillId="2" borderId="1" xfId="5" applyNumberFormat="1" applyFont="1" applyFill="1" applyBorder="1" applyAlignment="1" applyProtection="1">
      <alignment horizontal="center" vertical="center"/>
      <protection hidden="1"/>
    </xf>
    <xf numFmtId="10" fontId="26" fillId="2" borderId="1" xfId="5" applyNumberFormat="1" applyFont="1" applyFill="1" applyBorder="1" applyAlignment="1" applyProtection="1">
      <alignment horizontal="center" vertical="center"/>
      <protection hidden="1"/>
    </xf>
    <xf numFmtId="177" fontId="16" fillId="2" borderId="1" xfId="0" applyNumberFormat="1" applyFont="1" applyFill="1" applyBorder="1" applyAlignment="1" applyProtection="1">
      <alignment horizontal="center" vertical="center"/>
      <protection hidden="1"/>
    </xf>
    <xf numFmtId="0" fontId="135" fillId="2" borderId="1" xfId="0" applyFont="1" applyFill="1" applyBorder="1" applyAlignment="1" applyProtection="1">
      <alignment horizontal="center" vertical="center"/>
      <protection hidden="1"/>
    </xf>
    <xf numFmtId="0" fontId="50" fillId="8" borderId="13" xfId="0" applyFont="1" applyFill="1" applyBorder="1" applyAlignment="1" applyProtection="1">
      <alignment horizontal="center" vertical="center"/>
      <protection locked="0"/>
    </xf>
    <xf numFmtId="0" fontId="50" fillId="8" borderId="14" xfId="0" applyFont="1" applyFill="1" applyBorder="1" applyAlignment="1" applyProtection="1">
      <alignment horizontal="center" vertical="center"/>
      <protection locked="0"/>
    </xf>
    <xf numFmtId="176" fontId="52" fillId="11" borderId="13" xfId="0" applyNumberFormat="1" applyFont="1" applyFill="1" applyBorder="1" applyAlignment="1" applyProtection="1">
      <alignment horizontal="center" vertical="center"/>
      <protection hidden="1"/>
    </xf>
    <xf numFmtId="176" fontId="52" fillId="11" borderId="14" xfId="0" applyNumberFormat="1" applyFont="1" applyFill="1" applyBorder="1" applyAlignment="1" applyProtection="1">
      <alignment horizontal="center" vertical="center"/>
      <protection hidden="1"/>
    </xf>
    <xf numFmtId="0" fontId="26" fillId="2" borderId="0" xfId="0" applyFont="1" applyFill="1" applyAlignment="1" applyProtection="1">
      <alignment horizontal="right"/>
      <protection hidden="1"/>
    </xf>
    <xf numFmtId="181" fontId="36" fillId="2" borderId="7" xfId="0" applyNumberFormat="1" applyFont="1" applyFill="1" applyBorder="1" applyAlignment="1" applyProtection="1">
      <alignment horizontal="left" vertical="center"/>
      <protection hidden="1"/>
    </xf>
    <xf numFmtId="181" fontId="36" fillId="2" borderId="10" xfId="0" applyNumberFormat="1" applyFont="1" applyFill="1" applyBorder="1" applyAlignment="1" applyProtection="1">
      <alignment horizontal="left" vertical="center"/>
      <protection hidden="1"/>
    </xf>
    <xf numFmtId="180" fontId="57" fillId="2" borderId="13" xfId="0" applyNumberFormat="1" applyFont="1" applyFill="1" applyBorder="1" applyAlignment="1" applyProtection="1">
      <alignment horizontal="center" vertical="center"/>
      <protection hidden="1"/>
    </xf>
    <xf numFmtId="180" fontId="57" fillId="2" borderId="14" xfId="0" applyNumberFormat="1" applyFont="1" applyFill="1" applyBorder="1" applyAlignment="1" applyProtection="1">
      <alignment horizontal="center" vertical="center"/>
      <protection hidden="1"/>
    </xf>
    <xf numFmtId="0" fontId="17" fillId="2" borderId="0" xfId="1" applyFont="1" applyFill="1" applyAlignment="1" applyProtection="1">
      <alignment horizontal="center" vertical="center"/>
      <protection hidden="1"/>
    </xf>
    <xf numFmtId="0" fontId="31" fillId="2" borderId="0" xfId="0" applyFont="1" applyFill="1" applyBorder="1" applyAlignment="1" applyProtection="1">
      <alignment horizontal="left" vertical="center"/>
      <protection hidden="1"/>
    </xf>
    <xf numFmtId="177" fontId="39" fillId="2" borderId="9" xfId="0" applyNumberFormat="1" applyFont="1" applyFill="1" applyBorder="1" applyAlignment="1" applyProtection="1">
      <alignment vertical="center" wrapText="1"/>
      <protection hidden="1"/>
    </xf>
    <xf numFmtId="177" fontId="39" fillId="2" borderId="0" xfId="0" applyNumberFormat="1" applyFont="1" applyFill="1" applyBorder="1" applyAlignment="1" applyProtection="1">
      <alignment vertical="center" wrapText="1"/>
      <protection hidden="1"/>
    </xf>
    <xf numFmtId="0" fontId="12" fillId="2" borderId="93" xfId="0" applyFont="1" applyFill="1" applyBorder="1" applyAlignment="1" applyProtection="1">
      <alignment horizontal="center" vertical="center" wrapText="1"/>
      <protection hidden="1"/>
    </xf>
    <xf numFmtId="0" fontId="12" fillId="2" borderId="87" xfId="0" applyFont="1" applyFill="1" applyBorder="1" applyAlignment="1" applyProtection="1">
      <alignment horizontal="center" vertical="center" wrapText="1"/>
      <protection hidden="1"/>
    </xf>
    <xf numFmtId="0" fontId="10" fillId="18" borderId="21" xfId="0" applyFont="1" applyFill="1" applyBorder="1" applyAlignment="1" applyProtection="1">
      <alignment horizontal="center" vertical="center" wrapText="1"/>
      <protection hidden="1"/>
    </xf>
    <xf numFmtId="0" fontId="10" fillId="18" borderId="22" xfId="0" applyFont="1" applyFill="1" applyBorder="1" applyAlignment="1" applyProtection="1">
      <alignment horizontal="center" vertical="center" wrapText="1"/>
      <protection hidden="1"/>
    </xf>
    <xf numFmtId="0" fontId="10" fillId="18" borderId="23" xfId="0" applyFont="1" applyFill="1" applyBorder="1" applyAlignment="1" applyProtection="1">
      <alignment horizontal="center" vertical="center" wrapText="1"/>
      <protection hidden="1"/>
    </xf>
    <xf numFmtId="10" fontId="16" fillId="2" borderId="88" xfId="0" applyNumberFormat="1" applyFont="1" applyFill="1" applyBorder="1" applyAlignment="1" applyProtection="1">
      <alignment horizontal="center" vertical="center"/>
      <protection hidden="1"/>
    </xf>
    <xf numFmtId="10" fontId="16" fillId="2" borderId="90" xfId="0" applyNumberFormat="1" applyFont="1" applyFill="1" applyBorder="1" applyAlignment="1" applyProtection="1">
      <alignment horizontal="center" vertical="center"/>
      <protection hidden="1"/>
    </xf>
    <xf numFmtId="176" fontId="12" fillId="2" borderId="1" xfId="0" applyNumberFormat="1" applyFont="1" applyFill="1" applyBorder="1" applyAlignment="1" applyProtection="1">
      <alignment horizontal="center" vertical="center"/>
      <protection hidden="1"/>
    </xf>
    <xf numFmtId="176" fontId="12" fillId="2" borderId="97" xfId="0" applyNumberFormat="1" applyFont="1" applyFill="1" applyBorder="1" applyAlignment="1" applyProtection="1">
      <alignment horizontal="center" vertical="center"/>
      <protection hidden="1"/>
    </xf>
    <xf numFmtId="176" fontId="44" fillId="8" borderId="1" xfId="3" applyNumberFormat="1" applyFont="1" applyFill="1" applyBorder="1" applyAlignment="1" applyProtection="1">
      <alignment horizontal="center" vertical="center"/>
      <protection locked="0"/>
    </xf>
    <xf numFmtId="176" fontId="44" fillId="8" borderId="97" xfId="3" applyNumberFormat="1" applyFont="1" applyFill="1" applyBorder="1" applyAlignment="1" applyProtection="1">
      <alignment horizontal="center" vertical="center"/>
      <protection locked="0"/>
    </xf>
    <xf numFmtId="187" fontId="16" fillId="2" borderId="1" xfId="3" applyNumberFormat="1" applyFont="1" applyFill="1" applyBorder="1" applyAlignment="1" applyProtection="1">
      <alignment horizontal="center" vertical="center"/>
      <protection hidden="1"/>
    </xf>
    <xf numFmtId="187" fontId="16" fillId="2" borderId="97" xfId="3" applyNumberFormat="1" applyFont="1" applyFill="1" applyBorder="1" applyAlignment="1" applyProtection="1">
      <alignment horizontal="center" vertical="center"/>
      <protection hidden="1"/>
    </xf>
    <xf numFmtId="10" fontId="26" fillId="2" borderId="1" xfId="0" applyNumberFormat="1" applyFont="1" applyFill="1" applyBorder="1" applyAlignment="1" applyProtection="1">
      <alignment horizontal="center" vertical="center"/>
      <protection hidden="1"/>
    </xf>
    <xf numFmtId="10" fontId="26" fillId="2" borderId="97" xfId="0" applyNumberFormat="1" applyFont="1" applyFill="1" applyBorder="1" applyAlignment="1" applyProtection="1">
      <alignment horizontal="center" vertical="center"/>
      <protection hidden="1"/>
    </xf>
    <xf numFmtId="0" fontId="105" fillId="2" borderId="1" xfId="0" applyFont="1" applyFill="1" applyBorder="1" applyAlignment="1" applyProtection="1">
      <alignment horizontal="center" vertical="center" wrapText="1"/>
      <protection hidden="1"/>
    </xf>
    <xf numFmtId="0" fontId="105" fillId="2" borderId="89" xfId="0" applyFont="1" applyFill="1" applyBorder="1" applyAlignment="1" applyProtection="1">
      <alignment horizontal="center" vertical="center" wrapText="1"/>
      <protection hidden="1"/>
    </xf>
    <xf numFmtId="0" fontId="105" fillId="2" borderId="97" xfId="0" applyFont="1" applyFill="1" applyBorder="1" applyAlignment="1" applyProtection="1">
      <alignment horizontal="center" vertical="center" wrapText="1"/>
      <protection hidden="1"/>
    </xf>
    <xf numFmtId="0" fontId="105" fillId="2" borderId="91" xfId="0" applyFont="1" applyFill="1" applyBorder="1" applyAlignment="1" applyProtection="1">
      <alignment horizontal="center" vertical="center" wrapText="1"/>
      <protection hidden="1"/>
    </xf>
    <xf numFmtId="0" fontId="22" fillId="2" borderId="88" xfId="3" applyFont="1" applyFill="1" applyBorder="1" applyAlignment="1" applyProtection="1">
      <alignment horizontal="center" vertical="center" wrapText="1"/>
      <protection hidden="1"/>
    </xf>
    <xf numFmtId="0" fontId="22" fillId="2" borderId="88" xfId="3" applyFont="1" applyFill="1" applyBorder="1" applyAlignment="1" applyProtection="1">
      <alignment horizontal="center" vertical="center"/>
      <protection hidden="1"/>
    </xf>
    <xf numFmtId="10" fontId="35" fillId="8" borderId="89" xfId="3" applyNumberFormat="1" applyFont="1" applyFill="1" applyBorder="1" applyAlignment="1" applyProtection="1">
      <alignment horizontal="center" vertical="center"/>
      <protection locked="0"/>
    </xf>
    <xf numFmtId="176" fontId="12" fillId="2" borderId="1" xfId="0" applyNumberFormat="1" applyFont="1" applyFill="1" applyBorder="1" applyAlignment="1" applyProtection="1">
      <alignment horizontal="center" vertical="center" wrapText="1"/>
      <protection hidden="1"/>
    </xf>
    <xf numFmtId="176" fontId="12" fillId="2" borderId="97" xfId="0" applyNumberFormat="1" applyFont="1" applyFill="1" applyBorder="1" applyAlignment="1" applyProtection="1">
      <alignment horizontal="center" vertical="center" wrapText="1"/>
      <protection hidden="1"/>
    </xf>
    <xf numFmtId="176" fontId="21" fillId="2" borderId="1" xfId="3" applyNumberFormat="1" applyFont="1" applyFill="1" applyBorder="1" applyAlignment="1" applyProtection="1">
      <alignment horizontal="center" vertical="center"/>
      <protection hidden="1"/>
    </xf>
    <xf numFmtId="176" fontId="21" fillId="2" borderId="97" xfId="3" applyNumberFormat="1" applyFont="1" applyFill="1" applyBorder="1" applyAlignment="1" applyProtection="1">
      <alignment horizontal="center" vertical="center"/>
      <protection hidden="1"/>
    </xf>
    <xf numFmtId="187" fontId="99" fillId="20" borderId="1" xfId="6" applyNumberFormat="1" applyFont="1" applyFill="1" applyBorder="1" applyAlignment="1" applyProtection="1">
      <alignment horizontal="center" vertical="center"/>
      <protection hidden="1"/>
    </xf>
    <xf numFmtId="187" fontId="99" fillId="20" borderId="97" xfId="6" applyNumberFormat="1" applyFont="1" applyFill="1" applyBorder="1" applyAlignment="1" applyProtection="1">
      <alignment horizontal="center" vertical="center"/>
      <protection hidden="1"/>
    </xf>
    <xf numFmtId="0" fontId="48" fillId="2" borderId="1" xfId="0" applyFont="1" applyFill="1" applyBorder="1" applyAlignment="1" applyProtection="1">
      <alignment horizontal="center" vertical="center" wrapText="1"/>
      <protection hidden="1"/>
    </xf>
    <xf numFmtId="0" fontId="48" fillId="2" borderId="89" xfId="0" applyFont="1" applyFill="1" applyBorder="1" applyAlignment="1" applyProtection="1">
      <alignment horizontal="center" vertical="center" wrapText="1"/>
      <protection hidden="1"/>
    </xf>
    <xf numFmtId="0" fontId="48" fillId="2" borderId="97" xfId="0" applyFont="1" applyFill="1" applyBorder="1" applyAlignment="1" applyProtection="1">
      <alignment horizontal="center" vertical="center" wrapText="1"/>
      <protection hidden="1"/>
    </xf>
    <xf numFmtId="0" fontId="48" fillId="2" borderId="91" xfId="0" applyFont="1" applyFill="1" applyBorder="1" applyAlignment="1" applyProtection="1">
      <alignment horizontal="center" vertical="center" wrapText="1"/>
      <protection hidden="1"/>
    </xf>
    <xf numFmtId="0" fontId="103" fillId="2" borderId="0" xfId="0" applyFont="1" applyFill="1" applyBorder="1" applyAlignment="1" applyProtection="1">
      <alignment horizontal="left" vertical="center" wrapText="1"/>
      <protection hidden="1"/>
    </xf>
    <xf numFmtId="10" fontId="16" fillId="2" borderId="98" xfId="0" applyNumberFormat="1" applyFont="1" applyFill="1" applyBorder="1" applyAlignment="1" applyProtection="1">
      <alignment horizontal="center" vertical="center"/>
      <protection hidden="1"/>
    </xf>
    <xf numFmtId="176" fontId="12" fillId="2" borderId="5" xfId="0" applyNumberFormat="1" applyFont="1" applyFill="1" applyBorder="1" applyAlignment="1" applyProtection="1">
      <alignment horizontal="center" vertical="center"/>
      <protection hidden="1"/>
    </xf>
    <xf numFmtId="176" fontId="44" fillId="8" borderId="5" xfId="3" applyNumberFormat="1" applyFont="1" applyFill="1" applyBorder="1" applyAlignment="1" applyProtection="1">
      <alignment horizontal="center" vertical="center"/>
      <protection locked="0"/>
    </xf>
    <xf numFmtId="177" fontId="5" fillId="11" borderId="1" xfId="3" applyNumberFormat="1" applyFont="1" applyFill="1" applyBorder="1" applyAlignment="1" applyProtection="1">
      <alignment horizontal="center" vertical="center"/>
      <protection hidden="1"/>
    </xf>
    <xf numFmtId="177" fontId="5" fillId="11" borderId="5" xfId="3" applyNumberFormat="1" applyFont="1" applyFill="1" applyBorder="1" applyAlignment="1" applyProtection="1">
      <alignment horizontal="center" vertical="center"/>
      <protection hidden="1"/>
    </xf>
    <xf numFmtId="177" fontId="5" fillId="11" borderId="97" xfId="3" applyNumberFormat="1" applyFont="1" applyFill="1" applyBorder="1" applyAlignment="1" applyProtection="1">
      <alignment horizontal="center" vertical="center"/>
      <protection hidden="1"/>
    </xf>
    <xf numFmtId="0" fontId="48" fillId="2" borderId="99" xfId="0" applyFont="1" applyFill="1" applyBorder="1" applyAlignment="1" applyProtection="1">
      <alignment horizontal="center" vertical="center" wrapText="1"/>
      <protection hidden="1"/>
    </xf>
    <xf numFmtId="0" fontId="133" fillId="2" borderId="0" xfId="0" applyFont="1" applyFill="1" applyBorder="1" applyAlignment="1" applyProtection="1">
      <alignment horizontal="center" vertical="center"/>
      <protection hidden="1"/>
    </xf>
    <xf numFmtId="0" fontId="22" fillId="2" borderId="86" xfId="3" applyFont="1" applyFill="1" applyBorder="1" applyAlignment="1" applyProtection="1">
      <alignment horizontal="center" vertical="center"/>
      <protection hidden="1"/>
    </xf>
    <xf numFmtId="177" fontId="44" fillId="8" borderId="87" xfId="3" applyNumberFormat="1" applyFont="1" applyFill="1" applyBorder="1" applyAlignment="1" applyProtection="1">
      <alignment horizontal="center" vertical="center"/>
      <protection locked="0"/>
    </xf>
    <xf numFmtId="177" fontId="44" fillId="8" borderId="89" xfId="3" applyNumberFormat="1" applyFont="1" applyFill="1" applyBorder="1" applyAlignment="1" applyProtection="1">
      <alignment horizontal="center" vertical="center"/>
      <protection locked="0"/>
    </xf>
    <xf numFmtId="0" fontId="16" fillId="2" borderId="93" xfId="0" applyFont="1" applyFill="1" applyBorder="1" applyAlignment="1" applyProtection="1">
      <alignment horizontal="center" vertical="center" wrapText="1"/>
      <protection hidden="1"/>
    </xf>
    <xf numFmtId="0" fontId="16" fillId="2" borderId="87" xfId="0" applyFont="1" applyFill="1" applyBorder="1" applyAlignment="1" applyProtection="1">
      <alignment horizontal="center" vertical="center" wrapText="1"/>
      <protection hidden="1"/>
    </xf>
    <xf numFmtId="0" fontId="125" fillId="2" borderId="89" xfId="0" applyFont="1" applyFill="1" applyBorder="1" applyAlignment="1" applyProtection="1">
      <alignment horizontal="center" vertical="center" wrapText="1"/>
      <protection hidden="1"/>
    </xf>
    <xf numFmtId="0" fontId="125" fillId="2" borderId="97" xfId="0" applyFont="1" applyFill="1" applyBorder="1" applyAlignment="1" applyProtection="1">
      <alignment horizontal="center" vertical="center" wrapText="1"/>
      <protection hidden="1"/>
    </xf>
    <xf numFmtId="0" fontId="125" fillId="2" borderId="91" xfId="0" applyFont="1" applyFill="1" applyBorder="1" applyAlignment="1" applyProtection="1">
      <alignment horizontal="center" vertical="center" wrapText="1"/>
      <protection hidden="1"/>
    </xf>
    <xf numFmtId="0" fontId="40" fillId="2" borderId="88" xfId="4" applyFont="1" applyFill="1" applyBorder="1" applyAlignment="1" applyProtection="1">
      <alignment horizontal="center" vertical="center" wrapText="1"/>
      <protection hidden="1"/>
    </xf>
    <xf numFmtId="0" fontId="40" fillId="2" borderId="90" xfId="4" applyFont="1" applyFill="1" applyBorder="1" applyAlignment="1" applyProtection="1">
      <alignment horizontal="center" vertical="center" wrapText="1"/>
      <protection hidden="1"/>
    </xf>
    <xf numFmtId="177" fontId="21" fillId="2" borderId="89" xfId="2" applyNumberFormat="1" applyFont="1" applyFill="1" applyBorder="1" applyAlignment="1" applyProtection="1">
      <alignment horizontal="center" vertical="center"/>
      <protection hidden="1"/>
    </xf>
    <xf numFmtId="177" fontId="21" fillId="2" borderId="91" xfId="2" applyNumberFormat="1" applyFont="1" applyFill="1" applyBorder="1" applyAlignment="1" applyProtection="1">
      <alignment horizontal="center" vertical="center"/>
      <protection hidden="1"/>
    </xf>
    <xf numFmtId="177" fontId="44" fillId="8" borderId="46" xfId="3" applyNumberFormat="1" applyFont="1" applyFill="1" applyBorder="1" applyAlignment="1" applyProtection="1">
      <alignment horizontal="center" vertical="center"/>
      <protection locked="0"/>
    </xf>
    <xf numFmtId="177" fontId="44" fillId="8" borderId="48" xfId="3" applyNumberFormat="1" applyFont="1" applyFill="1" applyBorder="1" applyAlignment="1" applyProtection="1">
      <alignment horizontal="center" vertical="center"/>
      <protection locked="0"/>
    </xf>
    <xf numFmtId="0" fontId="110" fillId="2" borderId="54" xfId="4" applyFont="1" applyFill="1" applyBorder="1" applyAlignment="1" applyProtection="1">
      <alignment horizontal="center" vertical="center" wrapText="1"/>
      <protection hidden="1"/>
    </xf>
    <xf numFmtId="0" fontId="110" fillId="2" borderId="52" xfId="4" applyFont="1" applyFill="1" applyBorder="1" applyAlignment="1" applyProtection="1">
      <alignment horizontal="center" vertical="center" wrapText="1"/>
      <protection hidden="1"/>
    </xf>
    <xf numFmtId="177" fontId="21" fillId="2" borderId="48" xfId="2" applyNumberFormat="1" applyFont="1" applyFill="1" applyBorder="1" applyAlignment="1" applyProtection="1">
      <alignment horizontal="center" vertical="center"/>
      <protection hidden="1"/>
    </xf>
    <xf numFmtId="181" fontId="27" fillId="2" borderId="36" xfId="0" applyNumberFormat="1" applyFont="1" applyFill="1" applyBorder="1" applyAlignment="1" applyProtection="1">
      <alignment horizontal="left" wrapText="1"/>
      <protection hidden="1"/>
    </xf>
    <xf numFmtId="181" fontId="27" fillId="2" borderId="0" xfId="0" applyNumberFormat="1" applyFont="1" applyFill="1" applyBorder="1" applyAlignment="1" applyProtection="1">
      <alignment horizontal="left" wrapText="1"/>
      <protection hidden="1"/>
    </xf>
    <xf numFmtId="0" fontId="0" fillId="0" borderId="83" xfId="0" applyBorder="1" applyAlignment="1">
      <alignment horizontal="center" vertical="center"/>
    </xf>
    <xf numFmtId="0" fontId="0" fillId="0" borderId="84" xfId="0" applyBorder="1" applyAlignment="1">
      <alignment horizontal="center" vertical="center"/>
    </xf>
    <xf numFmtId="0" fontId="0" fillId="0" borderId="85" xfId="0" applyBorder="1" applyAlignment="1">
      <alignment horizontal="center" vertical="center"/>
    </xf>
    <xf numFmtId="0" fontId="13" fillId="16" borderId="0" xfId="0" applyFont="1" applyFill="1" applyAlignment="1" applyProtection="1">
      <alignment horizontal="center" vertical="center" wrapText="1"/>
      <protection hidden="1"/>
    </xf>
    <xf numFmtId="181" fontId="37" fillId="3" borderId="54" xfId="0" applyNumberFormat="1" applyFont="1" applyFill="1" applyBorder="1" applyAlignment="1" applyProtection="1">
      <alignment horizontal="center" vertical="center" wrapText="1"/>
      <protection hidden="1"/>
    </xf>
    <xf numFmtId="181" fontId="37" fillId="3" borderId="52" xfId="0" applyNumberFormat="1" applyFont="1" applyFill="1" applyBorder="1" applyAlignment="1" applyProtection="1">
      <alignment horizontal="center" vertical="center" wrapText="1"/>
      <protection hidden="1"/>
    </xf>
    <xf numFmtId="177" fontId="30" fillId="8" borderId="55" xfId="0" applyNumberFormat="1" applyFont="1" applyFill="1" applyBorder="1" applyAlignment="1" applyProtection="1">
      <alignment horizontal="center" vertical="center"/>
      <protection locked="0"/>
    </xf>
    <xf numFmtId="177" fontId="30" fillId="8" borderId="53" xfId="0" applyNumberFormat="1" applyFont="1" applyFill="1" applyBorder="1" applyAlignment="1" applyProtection="1">
      <alignment horizontal="center" vertical="center"/>
      <protection locked="0"/>
    </xf>
    <xf numFmtId="181" fontId="91" fillId="3" borderId="81" xfId="0" applyNumberFormat="1" applyFont="1" applyFill="1" applyBorder="1" applyAlignment="1" applyProtection="1">
      <alignment horizontal="center" vertical="center"/>
      <protection hidden="1"/>
    </xf>
    <xf numFmtId="181" fontId="91" fillId="3" borderId="82" xfId="0" applyNumberFormat="1" applyFont="1" applyFill="1" applyBorder="1" applyAlignment="1" applyProtection="1">
      <alignment horizontal="center" vertical="center"/>
      <protection hidden="1"/>
    </xf>
    <xf numFmtId="0" fontId="73" fillId="14" borderId="7" xfId="3" applyFont="1" applyFill="1" applyBorder="1" applyAlignment="1" applyProtection="1">
      <alignment horizontal="center" vertical="center" wrapText="1" readingOrder="1"/>
      <protection hidden="1"/>
    </xf>
    <xf numFmtId="0" fontId="73" fillId="14" borderId="8" xfId="3" applyFont="1" applyFill="1" applyBorder="1" applyAlignment="1" applyProtection="1">
      <alignment horizontal="center" vertical="center" wrapText="1" readingOrder="1"/>
      <protection hidden="1"/>
    </xf>
    <xf numFmtId="0" fontId="73" fillId="14" borderId="12" xfId="3" applyFont="1" applyFill="1" applyBorder="1" applyAlignment="1" applyProtection="1">
      <alignment horizontal="center" vertical="center" wrapText="1" readingOrder="1"/>
      <protection hidden="1"/>
    </xf>
    <xf numFmtId="0" fontId="73" fillId="14" borderId="4" xfId="3" applyFont="1" applyFill="1" applyBorder="1" applyAlignment="1" applyProtection="1">
      <alignment horizontal="center" vertical="center" wrapText="1" readingOrder="1"/>
      <protection hidden="1"/>
    </xf>
    <xf numFmtId="0" fontId="41" fillId="15" borderId="5" xfId="3" applyFont="1" applyFill="1" applyBorder="1" applyAlignment="1" applyProtection="1">
      <alignment horizontal="center" vertical="center" wrapText="1"/>
      <protection hidden="1"/>
    </xf>
    <xf numFmtId="0" fontId="41" fillId="15" borderId="11" xfId="3" applyFont="1" applyFill="1" applyBorder="1" applyAlignment="1" applyProtection="1">
      <alignment horizontal="center" vertical="center" wrapText="1"/>
      <protection hidden="1"/>
    </xf>
    <xf numFmtId="0" fontId="37" fillId="15" borderId="5" xfId="3" applyFont="1" applyFill="1" applyBorder="1" applyAlignment="1" applyProtection="1">
      <alignment horizontal="center" vertical="center" wrapText="1"/>
      <protection hidden="1"/>
    </xf>
    <xf numFmtId="0" fontId="37" fillId="15" borderId="11" xfId="3" applyFont="1" applyFill="1" applyBorder="1" applyAlignment="1" applyProtection="1">
      <alignment horizontal="center" vertical="center" wrapText="1"/>
      <protection hidden="1"/>
    </xf>
    <xf numFmtId="0" fontId="37" fillId="15" borderId="2" xfId="3" applyFont="1" applyFill="1" applyBorder="1" applyAlignment="1" applyProtection="1">
      <alignment horizontal="center" vertical="center" wrapText="1"/>
      <protection hidden="1"/>
    </xf>
    <xf numFmtId="0" fontId="79" fillId="15" borderId="5" xfId="3" applyFont="1" applyFill="1" applyBorder="1" applyAlignment="1" applyProtection="1">
      <alignment horizontal="left" vertical="center" wrapText="1" readingOrder="1"/>
      <protection hidden="1"/>
    </xf>
    <xf numFmtId="0" fontId="79" fillId="15" borderId="11" xfId="3" applyFont="1" applyFill="1" applyBorder="1" applyAlignment="1" applyProtection="1">
      <alignment horizontal="left" vertical="center" wrapText="1" readingOrder="1"/>
      <protection hidden="1"/>
    </xf>
    <xf numFmtId="0" fontId="79" fillId="15" borderId="2" xfId="3" applyFont="1" applyFill="1" applyBorder="1" applyAlignment="1" applyProtection="1">
      <alignment horizontal="left" vertical="center" wrapText="1" readingOrder="1"/>
      <protection hidden="1"/>
    </xf>
    <xf numFmtId="0" fontId="80" fillId="16" borderId="1" xfId="3" applyFont="1" applyFill="1" applyBorder="1" applyAlignment="1" applyProtection="1">
      <alignment horizontal="left" vertical="center" wrapText="1" readingOrder="1"/>
      <protection hidden="1"/>
    </xf>
    <xf numFmtId="0" fontId="13" fillId="15" borderId="59" xfId="4" applyFont="1" applyFill="1" applyBorder="1" applyAlignment="1" applyProtection="1">
      <alignment horizontal="center" vertical="center"/>
      <protection hidden="1"/>
    </xf>
    <xf numFmtId="0" fontId="13" fillId="15" borderId="60" xfId="4" applyFont="1" applyFill="1" applyBorder="1" applyAlignment="1" applyProtection="1">
      <alignment horizontal="center" vertical="center"/>
      <protection hidden="1"/>
    </xf>
    <xf numFmtId="0" fontId="88" fillId="15" borderId="43" xfId="3" applyFont="1" applyFill="1" applyBorder="1" applyAlignment="1" applyProtection="1">
      <alignment horizontal="center" vertical="center" wrapText="1"/>
      <protection hidden="1"/>
    </xf>
    <xf numFmtId="0" fontId="88" fillId="15" borderId="61" xfId="3" applyFont="1" applyFill="1" applyBorder="1" applyAlignment="1" applyProtection="1">
      <alignment horizontal="center" vertical="center" wrapText="1"/>
      <protection hidden="1"/>
    </xf>
    <xf numFmtId="0" fontId="26" fillId="15" borderId="43" xfId="3" applyFont="1" applyFill="1" applyBorder="1" applyAlignment="1" applyProtection="1">
      <alignment horizontal="center" vertical="center" wrapText="1"/>
      <protection hidden="1"/>
    </xf>
    <xf numFmtId="0" fontId="26" fillId="15" borderId="61" xfId="3" applyFont="1" applyFill="1" applyBorder="1" applyAlignment="1" applyProtection="1">
      <alignment horizontal="center" vertical="center" wrapText="1"/>
      <protection hidden="1"/>
    </xf>
    <xf numFmtId="0" fontId="37" fillId="15" borderId="33" xfId="4" applyFont="1" applyFill="1" applyBorder="1" applyAlignment="1" applyProtection="1">
      <alignment horizontal="left" vertical="center" wrapText="1"/>
      <protection hidden="1"/>
    </xf>
    <xf numFmtId="0" fontId="37" fillId="15" borderId="35" xfId="4" applyFont="1" applyFill="1" applyBorder="1" applyAlignment="1" applyProtection="1">
      <alignment horizontal="left" vertical="center" wrapText="1"/>
      <protection hidden="1"/>
    </xf>
    <xf numFmtId="0" fontId="37" fillId="15" borderId="34" xfId="4" applyFont="1" applyFill="1" applyBorder="1" applyAlignment="1" applyProtection="1">
      <alignment horizontal="left" vertical="center" wrapText="1"/>
      <protection hidden="1"/>
    </xf>
    <xf numFmtId="0" fontId="37" fillId="15" borderId="36" xfId="4" applyFont="1" applyFill="1" applyBorder="1" applyAlignment="1" applyProtection="1">
      <alignment horizontal="left" vertical="center" wrapText="1"/>
      <protection hidden="1"/>
    </xf>
    <xf numFmtId="0" fontId="37" fillId="15" borderId="0" xfId="4" applyFont="1" applyFill="1" applyBorder="1" applyAlignment="1" applyProtection="1">
      <alignment horizontal="left" vertical="center" wrapText="1"/>
      <protection hidden="1"/>
    </xf>
    <xf numFmtId="0" fontId="37" fillId="15" borderId="37" xfId="4" applyFont="1" applyFill="1" applyBorder="1" applyAlignment="1" applyProtection="1">
      <alignment horizontal="left" vertical="center" wrapText="1"/>
      <protection hidden="1"/>
    </xf>
    <xf numFmtId="0" fontId="41" fillId="15" borderId="65" xfId="3" applyFont="1" applyFill="1" applyBorder="1" applyAlignment="1" applyProtection="1">
      <alignment horizontal="center" vertical="center" wrapText="1" readingOrder="1"/>
      <protection hidden="1"/>
    </xf>
    <xf numFmtId="0" fontId="41" fillId="15" borderId="66" xfId="3" applyFont="1" applyFill="1" applyBorder="1" applyAlignment="1" applyProtection="1">
      <alignment horizontal="center" vertical="center" wrapText="1" readingOrder="1"/>
      <protection hidden="1"/>
    </xf>
    <xf numFmtId="0" fontId="41" fillId="15" borderId="41" xfId="4" applyFont="1" applyFill="1" applyBorder="1" applyAlignment="1" applyProtection="1">
      <alignment horizontal="center" vertical="center" wrapText="1"/>
      <protection hidden="1"/>
    </xf>
    <xf numFmtId="0" fontId="41" fillId="15" borderId="56" xfId="4" applyFont="1" applyFill="1" applyBorder="1" applyAlignment="1" applyProtection="1">
      <alignment horizontal="center" vertical="center" wrapText="1"/>
      <protection hidden="1"/>
    </xf>
    <xf numFmtId="0" fontId="41" fillId="15" borderId="52" xfId="4" applyFont="1" applyFill="1" applyBorder="1" applyAlignment="1" applyProtection="1">
      <alignment horizontal="center" vertical="center" wrapText="1"/>
      <protection hidden="1"/>
    </xf>
    <xf numFmtId="0" fontId="88" fillId="15" borderId="45" xfId="3" applyFont="1" applyFill="1" applyBorder="1" applyAlignment="1" applyProtection="1">
      <alignment horizontal="left" vertical="center" wrapText="1"/>
      <protection hidden="1"/>
    </xf>
    <xf numFmtId="0" fontId="88" fillId="15" borderId="1" xfId="3" applyFont="1" applyFill="1" applyBorder="1" applyAlignment="1" applyProtection="1">
      <alignment horizontal="left" vertical="center" wrapText="1"/>
      <protection hidden="1"/>
    </xf>
    <xf numFmtId="0" fontId="88" fillId="15" borderId="50" xfId="3" applyFont="1" applyFill="1" applyBorder="1" applyAlignment="1" applyProtection="1">
      <alignment horizontal="left" vertical="center" wrapText="1"/>
      <protection hidden="1"/>
    </xf>
    <xf numFmtId="0" fontId="87" fillId="15" borderId="2" xfId="3" applyFont="1" applyFill="1" applyBorder="1" applyAlignment="1" applyProtection="1">
      <alignment horizontal="center" vertical="center" wrapText="1"/>
      <protection hidden="1"/>
    </xf>
    <xf numFmtId="0" fontId="87" fillId="15" borderId="50" xfId="3" applyFont="1" applyFill="1" applyBorder="1" applyAlignment="1" applyProtection="1">
      <alignment horizontal="center" vertical="center" wrapText="1"/>
      <protection hidden="1"/>
    </xf>
    <xf numFmtId="0" fontId="13" fillId="15" borderId="47" xfId="4" applyFont="1" applyFill="1" applyBorder="1" applyAlignment="1" applyProtection="1">
      <alignment horizontal="center" vertical="center" wrapText="1"/>
      <protection hidden="1"/>
    </xf>
    <xf numFmtId="0" fontId="13" fillId="15" borderId="49" xfId="4" applyFont="1" applyFill="1" applyBorder="1" applyAlignment="1" applyProtection="1">
      <alignment horizontal="center" vertical="center" wrapText="1"/>
      <protection hidden="1"/>
    </xf>
    <xf numFmtId="0" fontId="37" fillId="15" borderId="1" xfId="4" applyFont="1" applyFill="1" applyBorder="1" applyAlignment="1" applyProtection="1">
      <alignment horizontal="center" vertical="center" wrapText="1"/>
      <protection hidden="1"/>
    </xf>
    <xf numFmtId="0" fontId="37" fillId="15" borderId="48" xfId="4" applyFont="1" applyFill="1" applyBorder="1" applyAlignment="1" applyProtection="1">
      <alignment horizontal="center" vertical="center" wrapText="1"/>
      <protection hidden="1"/>
    </xf>
    <xf numFmtId="0" fontId="37" fillId="15" borderId="50" xfId="4" applyFont="1" applyFill="1" applyBorder="1" applyAlignment="1" applyProtection="1">
      <alignment horizontal="center" vertical="center" wrapText="1"/>
      <protection hidden="1"/>
    </xf>
    <xf numFmtId="0" fontId="37" fillId="15" borderId="51" xfId="4" applyFont="1" applyFill="1" applyBorder="1" applyAlignment="1" applyProtection="1">
      <alignment horizontal="center" vertical="center" wrapText="1"/>
      <protection hidden="1"/>
    </xf>
    <xf numFmtId="0" fontId="47" fillId="3" borderId="0" xfId="4" applyFont="1" applyFill="1" applyBorder="1" applyAlignment="1" applyProtection="1">
      <alignment horizontal="left" vertical="center" wrapText="1"/>
      <protection hidden="1"/>
    </xf>
    <xf numFmtId="0" fontId="88" fillId="15" borderId="42" xfId="3" applyFont="1" applyFill="1" applyBorder="1" applyAlignment="1" applyProtection="1">
      <alignment horizontal="left" vertical="center" wrapText="1"/>
      <protection hidden="1"/>
    </xf>
    <xf numFmtId="0" fontId="88" fillId="15" borderId="11" xfId="3" applyFont="1" applyFill="1" applyBorder="1" applyAlignment="1" applyProtection="1">
      <alignment horizontal="left" vertical="center" wrapText="1"/>
      <protection hidden="1"/>
    </xf>
    <xf numFmtId="0" fontId="88" fillId="15" borderId="62" xfId="3" applyFont="1" applyFill="1" applyBorder="1" applyAlignment="1" applyProtection="1">
      <alignment horizontal="left" vertical="center" wrapText="1"/>
      <protection hidden="1"/>
    </xf>
    <xf numFmtId="0" fontId="37" fillId="15" borderId="45" xfId="4" applyFont="1" applyFill="1" applyBorder="1" applyAlignment="1" applyProtection="1">
      <alignment horizontal="center" vertical="center" wrapText="1"/>
      <protection hidden="1"/>
    </xf>
    <xf numFmtId="0" fontId="37" fillId="15" borderId="46" xfId="4" applyFont="1" applyFill="1" applyBorder="1" applyAlignment="1" applyProtection="1">
      <alignment horizontal="center" vertical="center" wrapText="1"/>
      <protection hidden="1"/>
    </xf>
    <xf numFmtId="0" fontId="22" fillId="15" borderId="41" xfId="4" applyFont="1" applyFill="1" applyBorder="1" applyAlignment="1" applyProtection="1">
      <alignment horizontal="center" vertical="center" wrapText="1"/>
      <protection hidden="1"/>
    </xf>
    <xf numFmtId="0" fontId="22" fillId="15" borderId="56" xfId="4" applyFont="1" applyFill="1" applyBorder="1" applyAlignment="1" applyProtection="1">
      <alignment horizontal="center" vertical="center"/>
      <protection hidden="1"/>
    </xf>
    <xf numFmtId="0" fontId="22" fillId="15" borderId="57" xfId="4" applyFont="1" applyFill="1" applyBorder="1" applyAlignment="1" applyProtection="1">
      <alignment horizontal="center" vertical="center"/>
      <protection hidden="1"/>
    </xf>
    <xf numFmtId="0" fontId="20" fillId="3" borderId="0" xfId="0" applyFont="1" applyFill="1" applyBorder="1" applyAlignment="1" applyProtection="1">
      <alignment horizontal="center" vertical="center" wrapText="1"/>
      <protection hidden="1"/>
    </xf>
    <xf numFmtId="0" fontId="37" fillId="15" borderId="48" xfId="0" applyFont="1" applyFill="1" applyBorder="1" applyAlignment="1" applyProtection="1">
      <alignment horizontal="center" vertical="center"/>
      <protection hidden="1"/>
    </xf>
    <xf numFmtId="0" fontId="37" fillId="15" borderId="51" xfId="0" applyFont="1" applyFill="1" applyBorder="1" applyAlignment="1" applyProtection="1">
      <alignment horizontal="center" vertical="center"/>
      <protection hidden="1"/>
    </xf>
    <xf numFmtId="0" fontId="79" fillId="15" borderId="7" xfId="3" applyFont="1" applyFill="1" applyBorder="1" applyAlignment="1" applyProtection="1">
      <alignment horizontal="left" vertical="center" wrapText="1" readingOrder="1"/>
      <protection hidden="1"/>
    </xf>
    <xf numFmtId="0" fontId="79" fillId="15" borderId="8" xfId="3" applyFont="1" applyFill="1" applyBorder="1" applyAlignment="1" applyProtection="1">
      <alignment horizontal="left" vertical="center" wrapText="1" readingOrder="1"/>
      <protection hidden="1"/>
    </xf>
    <xf numFmtId="0" fontId="79" fillId="15" borderId="9" xfId="3" applyFont="1" applyFill="1" applyBorder="1" applyAlignment="1" applyProtection="1">
      <alignment horizontal="left" vertical="center" wrapText="1" readingOrder="1"/>
      <protection hidden="1"/>
    </xf>
    <xf numFmtId="0" fontId="79" fillId="15" borderId="6" xfId="3" applyFont="1" applyFill="1" applyBorder="1" applyAlignment="1" applyProtection="1">
      <alignment horizontal="left" vertical="center" wrapText="1" readingOrder="1"/>
      <protection hidden="1"/>
    </xf>
    <xf numFmtId="0" fontId="37" fillId="16" borderId="53" xfId="0" applyFont="1" applyFill="1" applyBorder="1" applyAlignment="1" applyProtection="1">
      <alignment horizontal="center" vertical="center"/>
      <protection hidden="1"/>
    </xf>
    <xf numFmtId="0" fontId="37" fillId="16" borderId="51" xfId="0" applyFont="1" applyFill="1" applyBorder="1" applyAlignment="1" applyProtection="1">
      <alignment horizontal="center" vertical="center"/>
      <protection hidden="1"/>
    </xf>
    <xf numFmtId="0" fontId="81" fillId="13" borderId="10" xfId="3" applyFont="1" applyFill="1" applyBorder="1" applyAlignment="1" applyProtection="1">
      <alignment horizontal="left" vertical="center" wrapText="1"/>
      <protection hidden="1"/>
    </xf>
    <xf numFmtId="0" fontId="81" fillId="13" borderId="0" xfId="3" applyFont="1" applyFill="1" applyBorder="1" applyAlignment="1" applyProtection="1">
      <alignment horizontal="left" vertical="center" wrapText="1"/>
      <protection hidden="1"/>
    </xf>
    <xf numFmtId="0" fontId="82" fillId="15" borderId="44" xfId="0" applyFont="1" applyFill="1" applyBorder="1" applyAlignment="1" applyProtection="1">
      <alignment horizontal="center" vertical="center" wrapText="1"/>
      <protection hidden="1"/>
    </xf>
    <xf numFmtId="0" fontId="82" fillId="15" borderId="54" xfId="0" applyFont="1" applyFill="1" applyBorder="1" applyAlignment="1" applyProtection="1">
      <alignment horizontal="center" vertical="center" wrapText="1"/>
      <protection hidden="1"/>
    </xf>
    <xf numFmtId="0" fontId="37" fillId="16" borderId="46" xfId="3" applyFont="1" applyFill="1" applyBorder="1" applyAlignment="1" applyProtection="1">
      <alignment horizontal="center" vertical="center" wrapText="1"/>
      <protection hidden="1"/>
    </xf>
    <xf numFmtId="0" fontId="37" fillId="16" borderId="51" xfId="3" applyFont="1" applyFill="1" applyBorder="1" applyAlignment="1" applyProtection="1">
      <alignment horizontal="center" vertical="center" wrapText="1"/>
      <protection hidden="1"/>
    </xf>
    <xf numFmtId="0" fontId="82" fillId="16" borderId="41" xfId="0" applyFont="1" applyFill="1" applyBorder="1" applyAlignment="1" applyProtection="1">
      <alignment horizontal="center" vertical="center" wrapText="1"/>
      <protection hidden="1"/>
    </xf>
    <xf numFmtId="0" fontId="82" fillId="16" borderId="57" xfId="0" applyFont="1" applyFill="1" applyBorder="1" applyAlignment="1" applyProtection="1">
      <alignment horizontal="center" vertical="center" wrapText="1"/>
      <protection hidden="1"/>
    </xf>
    <xf numFmtId="0" fontId="37" fillId="16" borderId="42" xfId="0" applyFont="1" applyFill="1" applyBorder="1" applyAlignment="1" applyProtection="1">
      <alignment horizontal="center" vertical="center" wrapText="1"/>
      <protection hidden="1"/>
    </xf>
    <xf numFmtId="0" fontId="37" fillId="16" borderId="62" xfId="0" applyFont="1" applyFill="1" applyBorder="1" applyAlignment="1" applyProtection="1">
      <alignment horizontal="center" vertical="center" wrapText="1"/>
      <protection hidden="1"/>
    </xf>
    <xf numFmtId="0" fontId="37" fillId="16" borderId="42" xfId="3" applyFont="1" applyFill="1" applyBorder="1" applyAlignment="1" applyProtection="1">
      <alignment horizontal="center" vertical="center"/>
      <protection hidden="1"/>
    </xf>
    <xf numFmtId="0" fontId="37" fillId="16" borderId="62" xfId="3" applyFont="1" applyFill="1" applyBorder="1" applyAlignment="1" applyProtection="1">
      <alignment horizontal="center" vertical="center"/>
      <protection hidden="1"/>
    </xf>
    <xf numFmtId="9" fontId="37" fillId="15" borderId="1" xfId="0" applyNumberFormat="1" applyFont="1" applyFill="1" applyBorder="1" applyAlignment="1" applyProtection="1">
      <alignment horizontal="center" vertical="center"/>
      <protection hidden="1"/>
    </xf>
    <xf numFmtId="0" fontId="82" fillId="16" borderId="52" xfId="0" applyFont="1" applyFill="1" applyBorder="1" applyAlignment="1" applyProtection="1">
      <alignment horizontal="center" vertical="center" wrapText="1"/>
      <protection hidden="1"/>
    </xf>
    <xf numFmtId="0" fontId="82" fillId="16" borderId="49" xfId="0" applyFont="1" applyFill="1" applyBorder="1" applyAlignment="1" applyProtection="1">
      <alignment horizontal="center" vertical="center" wrapText="1"/>
      <protection hidden="1"/>
    </xf>
    <xf numFmtId="9" fontId="37" fillId="16" borderId="2" xfId="0" applyNumberFormat="1" applyFont="1" applyFill="1" applyBorder="1" applyAlignment="1" applyProtection="1">
      <alignment horizontal="center" vertical="center" wrapText="1"/>
      <protection hidden="1"/>
    </xf>
    <xf numFmtId="9" fontId="37" fillId="16" borderId="50" xfId="0" applyNumberFormat="1" applyFont="1" applyFill="1" applyBorder="1" applyAlignment="1" applyProtection="1">
      <alignment horizontal="center" vertical="center" wrapText="1"/>
      <protection hidden="1"/>
    </xf>
    <xf numFmtId="0" fontId="37" fillId="16" borderId="2" xfId="0" applyFont="1" applyFill="1" applyBorder="1" applyAlignment="1" applyProtection="1">
      <alignment horizontal="center" vertical="center"/>
      <protection hidden="1"/>
    </xf>
    <xf numFmtId="0" fontId="37" fillId="16" borderId="50" xfId="0" applyFont="1" applyFill="1" applyBorder="1" applyAlignment="1" applyProtection="1">
      <alignment horizontal="center" vertical="center"/>
      <protection hidden="1"/>
    </xf>
    <xf numFmtId="0" fontId="78" fillId="15" borderId="44" xfId="0" applyFont="1" applyFill="1" applyBorder="1" applyAlignment="1" applyProtection="1">
      <alignment horizontal="center" vertical="center" wrapText="1"/>
      <protection hidden="1"/>
    </xf>
    <xf numFmtId="0" fontId="78" fillId="15" borderId="47" xfId="0" applyFont="1" applyFill="1" applyBorder="1" applyAlignment="1" applyProtection="1">
      <alignment horizontal="center" vertical="center" wrapText="1"/>
      <protection hidden="1"/>
    </xf>
    <xf numFmtId="0" fontId="78" fillId="15" borderId="49" xfId="0" applyFont="1" applyFill="1" applyBorder="1" applyAlignment="1" applyProtection="1">
      <alignment horizontal="center" vertical="center" wrapText="1"/>
      <protection hidden="1"/>
    </xf>
    <xf numFmtId="0" fontId="37" fillId="15" borderId="45" xfId="0" applyFont="1" applyFill="1" applyBorder="1" applyAlignment="1" applyProtection="1">
      <alignment horizontal="center" vertical="center" wrapText="1"/>
      <protection hidden="1"/>
    </xf>
    <xf numFmtId="0" fontId="37" fillId="15" borderId="1" xfId="0" applyFont="1" applyFill="1" applyBorder="1" applyAlignment="1" applyProtection="1">
      <alignment horizontal="center" vertical="center" wrapText="1"/>
      <protection hidden="1"/>
    </xf>
    <xf numFmtId="0" fontId="37" fillId="15" borderId="45" xfId="0" applyFont="1" applyFill="1" applyBorder="1" applyAlignment="1" applyProtection="1">
      <alignment horizontal="center" vertical="center"/>
      <protection hidden="1"/>
    </xf>
    <xf numFmtId="0" fontId="37" fillId="15" borderId="1" xfId="0" applyFont="1" applyFill="1" applyBorder="1" applyAlignment="1" applyProtection="1">
      <alignment horizontal="center" vertical="center"/>
      <protection hidden="1"/>
    </xf>
    <xf numFmtId="0" fontId="79" fillId="15" borderId="127" xfId="3" applyFont="1" applyFill="1" applyBorder="1" applyAlignment="1" applyProtection="1">
      <alignment horizontal="center" vertical="center" wrapText="1" readingOrder="1"/>
      <protection hidden="1"/>
    </xf>
    <xf numFmtId="0" fontId="79" fillId="15" borderId="11" xfId="3" applyFont="1" applyFill="1" applyBorder="1" applyAlignment="1" applyProtection="1">
      <alignment horizontal="center" vertical="center" wrapText="1" readingOrder="1"/>
      <protection hidden="1"/>
    </xf>
    <xf numFmtId="0" fontId="79" fillId="15" borderId="62" xfId="3" applyFont="1" applyFill="1" applyBorder="1" applyAlignment="1" applyProtection="1">
      <alignment horizontal="center" vertical="center" wrapText="1" readingOrder="1"/>
      <protection hidden="1"/>
    </xf>
    <xf numFmtId="0" fontId="79" fillId="15" borderId="74" xfId="3" applyFont="1" applyFill="1" applyBorder="1" applyAlignment="1" applyProtection="1">
      <alignment horizontal="left" vertical="center" wrapText="1" readingOrder="1"/>
      <protection hidden="1"/>
    </xf>
    <xf numFmtId="0" fontId="79" fillId="15" borderId="75" xfId="3" applyFont="1" applyFill="1" applyBorder="1" applyAlignment="1" applyProtection="1">
      <alignment horizontal="left" vertical="center" wrapText="1" readingOrder="1"/>
      <protection hidden="1"/>
    </xf>
    <xf numFmtId="0" fontId="79" fillId="15" borderId="78" xfId="3" applyFont="1" applyFill="1" applyBorder="1" applyAlignment="1" applyProtection="1">
      <alignment horizontal="left" vertical="center" wrapText="1" readingOrder="1"/>
      <protection hidden="1"/>
    </xf>
    <xf numFmtId="0" fontId="79" fillId="15" borderId="32" xfId="3" applyFont="1" applyFill="1" applyBorder="1" applyAlignment="1" applyProtection="1">
      <alignment horizontal="left" vertical="center" wrapText="1" readingOrder="1"/>
      <protection hidden="1"/>
    </xf>
    <xf numFmtId="0" fontId="79" fillId="16" borderId="114" xfId="3" applyFont="1" applyFill="1" applyBorder="1" applyAlignment="1" applyProtection="1">
      <alignment horizontal="left" vertical="center" wrapText="1" readingOrder="1"/>
      <protection hidden="1"/>
    </xf>
    <xf numFmtId="0" fontId="79" fillId="16" borderId="115" xfId="3" applyFont="1" applyFill="1" applyBorder="1" applyAlignment="1" applyProtection="1">
      <alignment horizontal="left" vertical="center" wrapText="1" readingOrder="1"/>
      <protection hidden="1"/>
    </xf>
    <xf numFmtId="0" fontId="87" fillId="15" borderId="45" xfId="3" applyFont="1" applyFill="1" applyBorder="1" applyAlignment="1" applyProtection="1">
      <alignment horizontal="center" vertical="center" wrapText="1"/>
      <protection hidden="1"/>
    </xf>
    <xf numFmtId="0" fontId="37" fillId="15" borderId="79" xfId="4" applyFont="1" applyFill="1" applyBorder="1" applyAlignment="1" applyProtection="1">
      <alignment horizontal="left" vertical="top" wrapText="1"/>
      <protection hidden="1"/>
    </xf>
    <xf numFmtId="0" fontId="37" fillId="15" borderId="35" xfId="4" applyFont="1" applyFill="1" applyBorder="1" applyAlignment="1" applyProtection="1">
      <alignment horizontal="left" vertical="top" wrapText="1"/>
      <protection hidden="1"/>
    </xf>
    <xf numFmtId="0" fontId="37" fillId="15" borderId="80" xfId="4" applyFont="1" applyFill="1" applyBorder="1" applyAlignment="1" applyProtection="1">
      <alignment horizontal="left" vertical="top" wrapText="1"/>
      <protection hidden="1"/>
    </xf>
    <xf numFmtId="0" fontId="37" fillId="15" borderId="110" xfId="4" applyFont="1" applyFill="1" applyBorder="1" applyAlignment="1" applyProtection="1">
      <alignment horizontal="left" vertical="top" wrapText="1"/>
      <protection hidden="1"/>
    </xf>
    <xf numFmtId="0" fontId="37" fillId="15" borderId="3" xfId="4" applyFont="1" applyFill="1" applyBorder="1" applyAlignment="1" applyProtection="1">
      <alignment horizontal="left" vertical="top" wrapText="1"/>
      <protection hidden="1"/>
    </xf>
    <xf numFmtId="0" fontId="37" fillId="15" borderId="111" xfId="4" applyFont="1" applyFill="1" applyBorder="1" applyAlignment="1" applyProtection="1">
      <alignment horizontal="left" vertical="top" wrapText="1"/>
      <protection hidden="1"/>
    </xf>
    <xf numFmtId="0" fontId="79" fillId="15" borderId="68" xfId="3" applyFont="1" applyFill="1" applyBorder="1" applyAlignment="1" applyProtection="1">
      <alignment horizontal="left" vertical="center" wrapText="1" readingOrder="1"/>
      <protection hidden="1"/>
    </xf>
    <xf numFmtId="0" fontId="79" fillId="15" borderId="71" xfId="3" applyFont="1" applyFill="1" applyBorder="1" applyAlignment="1" applyProtection="1">
      <alignment horizontal="left" vertical="center" wrapText="1" readingOrder="1"/>
      <protection hidden="1"/>
    </xf>
    <xf numFmtId="0" fontId="73" fillId="15" borderId="69" xfId="3" applyFont="1" applyFill="1" applyBorder="1" applyAlignment="1" applyProtection="1">
      <alignment horizontal="center" vertical="center" wrapText="1" readingOrder="1"/>
      <protection hidden="1"/>
    </xf>
    <xf numFmtId="0" fontId="73" fillId="15" borderId="73" xfId="3" applyFont="1" applyFill="1" applyBorder="1" applyAlignment="1" applyProtection="1">
      <alignment horizontal="center" vertical="center" wrapText="1" readingOrder="1"/>
      <protection hidden="1"/>
    </xf>
    <xf numFmtId="0" fontId="73" fillId="15" borderId="76" xfId="3" applyFont="1" applyFill="1" applyBorder="1" applyAlignment="1" applyProtection="1">
      <alignment horizontal="center" vertical="center" wrapText="1" readingOrder="1"/>
      <protection hidden="1"/>
    </xf>
  </cellXfs>
  <cellStyles count="7">
    <cellStyle name="Percent 3" xfId="6" xr:uid="{00000000-0005-0000-0000-000000000000}"/>
    <cellStyle name="百分比" xfId="5" builtinId="5"/>
    <cellStyle name="常规" xfId="0" builtinId="0"/>
    <cellStyle name="常规 2" xfId="3" xr:uid="{00000000-0005-0000-0000-000003000000}"/>
    <cellStyle name="常规 3" xfId="4" xr:uid="{00000000-0005-0000-0000-000004000000}"/>
    <cellStyle name="超链接" xfId="1" builtinId="8"/>
    <cellStyle name="千位分隔 2" xfId="2" xr:uid="{00000000-0005-0000-0000-000006000000}"/>
  </cellStyles>
  <dxfs count="402">
    <dxf>
      <font>
        <color rgb="FFFF0000"/>
      </font>
    </dxf>
    <dxf>
      <font>
        <color rgb="FFFF0000"/>
      </font>
    </dxf>
    <dxf>
      <font>
        <color rgb="FFFF0000"/>
      </font>
    </dxf>
    <dxf>
      <font>
        <color rgb="FFFF0000"/>
      </font>
    </dxf>
    <dxf>
      <font>
        <color rgb="FFFF0000"/>
      </font>
    </dxf>
    <dxf>
      <font>
        <color rgb="FFFF0000"/>
      </font>
    </dxf>
    <dxf>
      <font>
        <b/>
        <i val="0"/>
        <color rgb="FFFF0000"/>
      </font>
    </dxf>
    <dxf>
      <font>
        <color theme="1"/>
      </font>
    </dxf>
    <dxf>
      <font>
        <color rgb="FFFF0000"/>
      </font>
    </dxf>
    <dxf>
      <font>
        <strike/>
        <color theme="0" tint="-0.34998626667073579"/>
      </font>
    </dxf>
    <dxf>
      <font>
        <strike/>
        <color theme="0" tint="-0.34998626667073579"/>
      </font>
    </dxf>
    <dxf>
      <font>
        <strike/>
        <color theme="0" tint="-0.34998626667073579"/>
      </font>
    </dxf>
    <dxf>
      <font>
        <strike/>
        <color theme="0" tint="-0.34998626667073579"/>
      </font>
    </dxf>
    <dxf>
      <font>
        <strike/>
        <color theme="0" tint="-0.34998626667073579"/>
      </font>
    </dxf>
    <dxf>
      <font>
        <strike/>
        <color theme="0" tint="-0.34998626667073579"/>
      </font>
    </dxf>
    <dxf>
      <font>
        <strike/>
        <color theme="0" tint="-0.34998626667073579"/>
      </font>
    </dxf>
    <dxf>
      <font>
        <b val="0"/>
        <i/>
        <strike/>
        <color theme="0" tint="-0.34998626667073579"/>
      </font>
    </dxf>
    <dxf>
      <font>
        <strike/>
        <color theme="0" tint="-0.34998626667073579"/>
      </font>
    </dxf>
    <dxf>
      <font>
        <b/>
        <i val="0"/>
        <color rgb="FFFF0000"/>
      </font>
    </dxf>
    <dxf>
      <font>
        <color rgb="FFFF0000"/>
      </font>
    </dxf>
    <dxf>
      <font>
        <color rgb="FFFF0000"/>
      </font>
    </dxf>
    <dxf>
      <font>
        <color rgb="FFFF0000"/>
      </font>
    </dxf>
    <dxf>
      <font>
        <color rgb="FFFF0000"/>
      </font>
    </dxf>
    <dxf>
      <font>
        <b/>
        <i val="0"/>
        <color rgb="FFFF0000"/>
      </font>
    </dxf>
    <dxf>
      <font>
        <b/>
        <i val="0"/>
        <color rgb="FFFF0000"/>
      </font>
    </dxf>
    <dxf>
      <font>
        <color theme="7" tint="0.59996337778862885"/>
      </font>
    </dxf>
    <dxf>
      <font>
        <color theme="9" tint="0.79998168889431442"/>
      </font>
    </dxf>
    <dxf>
      <font>
        <strike/>
        <color rgb="FFFF0000"/>
      </font>
    </dxf>
    <dxf>
      <font>
        <strike/>
        <color rgb="FFFF0000"/>
      </font>
    </dxf>
    <dxf>
      <font>
        <strike/>
        <color rgb="FFFF0000"/>
      </font>
    </dxf>
    <dxf>
      <font>
        <b/>
        <i val="0"/>
        <color rgb="FFFF0000"/>
      </font>
    </dxf>
    <dxf>
      <font>
        <color rgb="FFFF0000"/>
      </font>
    </dxf>
    <dxf>
      <font>
        <b/>
        <i val="0"/>
        <strike/>
        <color rgb="FFFF0000"/>
      </font>
    </dxf>
    <dxf>
      <font>
        <color rgb="FFFF0000"/>
      </font>
    </dxf>
    <dxf>
      <font>
        <color rgb="FFFF0000"/>
      </font>
    </dxf>
    <dxf>
      <font>
        <color rgb="FFFF0000"/>
      </font>
    </dxf>
    <dxf>
      <font>
        <color rgb="FFFF0000"/>
      </font>
    </dxf>
    <dxf>
      <font>
        <b/>
        <i val="0"/>
        <color rgb="FFFF0000"/>
      </font>
    </dxf>
    <dxf>
      <font>
        <b/>
        <i val="0"/>
        <color rgb="FFFF0000"/>
      </font>
    </dxf>
    <dxf>
      <font>
        <b/>
        <i val="0"/>
        <color rgb="FFFF0000"/>
      </font>
    </dxf>
    <dxf>
      <font>
        <b/>
        <i val="0"/>
        <color rgb="FFFF0000"/>
      </font>
    </dxf>
    <dxf>
      <font>
        <color theme="9" tint="0.79998168889431442"/>
      </font>
    </dxf>
    <dxf>
      <font>
        <color theme="7" tint="0.59996337778862885"/>
      </font>
    </dxf>
    <dxf>
      <font>
        <color theme="9" tint="0.79998168889431442"/>
      </font>
    </dxf>
    <dxf>
      <font>
        <strike/>
        <color rgb="FFFF0000"/>
      </font>
    </dxf>
    <dxf>
      <font>
        <strike/>
        <color rgb="FFFF0000"/>
      </font>
    </dxf>
    <dxf>
      <font>
        <strike/>
        <color rgb="FFFF0000"/>
      </font>
    </dxf>
    <dxf>
      <font>
        <strike/>
        <color rgb="FFFF0000"/>
      </font>
    </dxf>
    <dxf>
      <font>
        <strike/>
        <color rgb="FFFF0000"/>
      </font>
    </dxf>
    <dxf>
      <font>
        <b/>
        <i val="0"/>
        <color rgb="FFFF0000"/>
      </font>
    </dxf>
    <dxf>
      <font>
        <b/>
        <i val="0"/>
        <color rgb="FFFF0000"/>
      </font>
    </dxf>
    <dxf>
      <font>
        <color rgb="FFFF0000"/>
      </font>
    </dxf>
    <dxf>
      <font>
        <color rgb="FFFF0000"/>
      </font>
    </dxf>
    <dxf>
      <font>
        <color rgb="FFFF0000"/>
      </font>
    </dxf>
    <dxf>
      <font>
        <color rgb="FFFF0000"/>
      </font>
    </dxf>
    <dxf>
      <font>
        <color rgb="FFFF0000"/>
      </font>
    </dxf>
    <dxf>
      <font>
        <color rgb="FFFF0000"/>
      </font>
    </dxf>
    <dxf>
      <font>
        <color theme="1"/>
      </font>
    </dxf>
    <dxf>
      <font>
        <color theme="1"/>
      </font>
    </dxf>
    <dxf>
      <font>
        <color rgb="FFFF0000"/>
      </font>
    </dxf>
    <dxf>
      <font>
        <strike/>
        <color rgb="FFFF0000"/>
      </font>
    </dxf>
    <dxf>
      <font>
        <color rgb="FFFF0000"/>
      </font>
    </dxf>
    <dxf>
      <font>
        <b/>
        <i val="0"/>
        <color rgb="FFFF0000"/>
      </font>
    </dxf>
    <dxf>
      <font>
        <b/>
        <i val="0"/>
        <color rgb="FFFF0000"/>
      </font>
    </dxf>
    <dxf>
      <font>
        <color rgb="FFFF0000"/>
      </font>
    </dxf>
    <dxf>
      <font>
        <color rgb="FFFF0000"/>
      </font>
    </dxf>
    <dxf>
      <font>
        <color rgb="FFFF0000"/>
      </font>
    </dxf>
    <dxf>
      <font>
        <color rgb="FFFF0000"/>
      </font>
    </dxf>
    <dxf>
      <font>
        <color theme="1"/>
      </font>
    </dxf>
    <dxf>
      <font>
        <color theme="1"/>
      </font>
    </dxf>
    <dxf>
      <font>
        <color rgb="FFFF0000"/>
      </font>
    </dxf>
    <dxf>
      <font>
        <strike/>
        <color rgb="FFFF0000"/>
      </font>
    </dxf>
    <dxf>
      <font>
        <color rgb="FFFF0000"/>
      </font>
    </dxf>
    <dxf>
      <font>
        <b/>
        <i val="0"/>
        <color rgb="FFFF0000"/>
      </font>
    </dxf>
    <dxf>
      <font>
        <b/>
        <i val="0"/>
        <color rgb="FFFF0000"/>
      </font>
    </dxf>
    <dxf>
      <font>
        <b/>
        <i val="0"/>
        <color rgb="FFFF0000"/>
      </font>
      <fill>
        <patternFill>
          <bgColor rgb="FFFFFF00"/>
        </patternFill>
      </fill>
    </dxf>
    <dxf>
      <font>
        <color rgb="FFFF0000"/>
      </font>
    </dxf>
    <dxf>
      <font>
        <color rgb="FFFF0000"/>
      </font>
    </dxf>
    <dxf>
      <font>
        <color rgb="FFFF0000"/>
      </font>
    </dxf>
    <dxf>
      <font>
        <strike/>
        <color theme="0" tint="-0.34998626667073579"/>
      </font>
    </dxf>
    <dxf>
      <font>
        <strike/>
        <color theme="0" tint="-0.34998626667073579"/>
      </font>
    </dxf>
    <dxf>
      <font>
        <b/>
        <i val="0"/>
        <color rgb="FFFF0000"/>
      </font>
    </dxf>
    <dxf>
      <font>
        <b/>
        <i val="0"/>
        <color rgb="FFFF0000"/>
      </font>
      <fill>
        <patternFill>
          <bgColor rgb="FFFFFF00"/>
        </patternFill>
      </fill>
    </dxf>
    <dxf>
      <font>
        <b/>
        <i val="0"/>
        <color rgb="FFFF0000"/>
      </font>
      <fill>
        <patternFill>
          <bgColor rgb="FFFFFF00"/>
        </patternFill>
      </fill>
    </dxf>
    <dxf>
      <font>
        <color rgb="FFFF0000"/>
      </font>
    </dxf>
    <dxf>
      <font>
        <color rgb="FFFF0000"/>
      </font>
    </dxf>
    <dxf>
      <font>
        <color theme="1"/>
      </font>
    </dxf>
    <dxf>
      <font>
        <color rgb="FFFF0000"/>
      </font>
    </dxf>
    <dxf>
      <font>
        <color rgb="FFFF0000"/>
      </font>
    </dxf>
    <dxf>
      <font>
        <color rgb="FFFF0000"/>
      </font>
    </dxf>
    <dxf>
      <font>
        <strike/>
        <color theme="0" tint="-0.34998626667073579"/>
      </font>
    </dxf>
    <dxf>
      <font>
        <strike/>
        <color theme="0" tint="-0.34998626667073579"/>
      </font>
    </dxf>
    <dxf>
      <font>
        <strike/>
        <color theme="0" tint="-0.34998626667073579"/>
      </font>
    </dxf>
    <dxf>
      <font>
        <b val="0"/>
        <i/>
        <strike/>
        <color theme="0" tint="-0.34998626667073579"/>
      </font>
    </dxf>
    <dxf>
      <font>
        <strike/>
        <color theme="0" tint="-0.34998626667073579"/>
      </font>
    </dxf>
    <dxf>
      <font>
        <strike/>
        <color theme="0" tint="-0.34998626667073579"/>
      </font>
    </dxf>
    <dxf>
      <font>
        <strike/>
        <color theme="0" tint="-0.34998626667073579"/>
      </font>
    </dxf>
    <dxf>
      <font>
        <b/>
        <i val="0"/>
        <color rgb="FFFF0000"/>
      </font>
    </dxf>
    <dxf>
      <font>
        <b/>
        <i val="0"/>
        <color rgb="FFFF0000"/>
      </font>
      <fill>
        <patternFill>
          <bgColor rgb="FFFFFF00"/>
        </patternFill>
      </fill>
    </dxf>
    <dxf>
      <font>
        <b/>
        <i val="0"/>
        <color rgb="FFFF0000"/>
      </font>
      <fill>
        <patternFill>
          <bgColor rgb="FFFFFF00"/>
        </patternFill>
      </fill>
    </dxf>
    <dxf>
      <font>
        <color rgb="FFFF0000"/>
      </font>
    </dxf>
    <dxf>
      <font>
        <color rgb="FFFF0000"/>
      </font>
    </dxf>
    <dxf>
      <font>
        <color theme="1"/>
      </font>
    </dxf>
    <dxf>
      <font>
        <color rgb="FFFF0000"/>
      </font>
    </dxf>
    <dxf>
      <font>
        <color rgb="FFFF0000"/>
      </font>
    </dxf>
    <dxf>
      <font>
        <color rgb="FFFF0000"/>
      </font>
    </dxf>
    <dxf>
      <font>
        <strike/>
        <color theme="0" tint="-0.34998626667073579"/>
      </font>
    </dxf>
    <dxf>
      <font>
        <strike/>
        <color theme="0" tint="-0.34998626667073579"/>
      </font>
    </dxf>
    <dxf>
      <font>
        <strike/>
        <color theme="0" tint="-0.34998626667073579"/>
      </font>
    </dxf>
    <dxf>
      <font>
        <b val="0"/>
        <i/>
        <strike/>
        <color theme="0" tint="-0.34998626667073579"/>
      </font>
    </dxf>
    <dxf>
      <font>
        <strike/>
        <color theme="0" tint="-0.34998626667073579"/>
      </font>
    </dxf>
    <dxf>
      <font>
        <strike/>
        <color theme="0" tint="-0.34998626667073579"/>
      </font>
    </dxf>
    <dxf>
      <font>
        <strike/>
        <color theme="0" tint="-0.34998626667073579"/>
      </font>
    </dxf>
    <dxf>
      <font>
        <b/>
        <i val="0"/>
        <color rgb="FFFF0000"/>
      </font>
    </dxf>
    <dxf>
      <font>
        <b/>
        <i val="0"/>
        <color rgb="FFFF0000"/>
      </font>
      <fill>
        <patternFill>
          <bgColor rgb="FFFFFF00"/>
        </patternFill>
      </fill>
    </dxf>
    <dxf>
      <font>
        <b/>
        <i val="0"/>
        <color rgb="FFFF0000"/>
      </font>
      <fill>
        <patternFill>
          <bgColor rgb="FFFFFF00"/>
        </patternFill>
      </fill>
    </dxf>
    <dxf>
      <font>
        <b/>
        <i val="0"/>
        <color rgb="FFFF0000"/>
      </font>
      <fill>
        <patternFill>
          <bgColor theme="9"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color theme="1"/>
      </font>
    </dxf>
    <dxf>
      <font>
        <color theme="1"/>
      </font>
    </dxf>
    <dxf>
      <font>
        <color theme="1"/>
      </font>
    </dxf>
    <dxf>
      <font>
        <color theme="1"/>
      </font>
    </dxf>
    <dxf>
      <font>
        <color theme="1"/>
      </font>
    </dxf>
    <dxf>
      <font>
        <color theme="1"/>
      </font>
    </dxf>
    <dxf>
      <font>
        <strike/>
        <color theme="0" tint="-0.34998626667073579"/>
      </font>
    </dxf>
    <dxf>
      <font>
        <b/>
        <i val="0"/>
        <color rgb="FFFF0000"/>
      </font>
    </dxf>
    <dxf>
      <font>
        <color rgb="FFFF0000"/>
      </font>
    </dxf>
    <dxf>
      <font>
        <color rgb="FFFF0000"/>
      </font>
    </dxf>
    <dxf>
      <font>
        <color theme="1"/>
      </font>
    </dxf>
    <dxf>
      <font>
        <color rgb="FFFF0000"/>
      </font>
    </dxf>
    <dxf>
      <font>
        <color rgb="FFFF0000"/>
      </font>
    </dxf>
    <dxf>
      <font>
        <color rgb="FFFF0000"/>
      </font>
    </dxf>
    <dxf>
      <font>
        <color rgb="FFFF0000"/>
      </font>
    </dxf>
    <dxf>
      <font>
        <strike/>
        <color theme="0" tint="-0.34998626667073579"/>
      </font>
    </dxf>
    <dxf>
      <font>
        <strike/>
        <color theme="0" tint="-0.34998626667073579"/>
      </font>
    </dxf>
    <dxf>
      <font>
        <strike/>
        <color theme="0" tint="-0.34998626667073579"/>
      </font>
    </dxf>
    <dxf>
      <font>
        <strike/>
        <color theme="0" tint="-0.34998626667073579"/>
      </font>
    </dxf>
    <dxf>
      <font>
        <strike/>
        <color theme="0" tint="-0.34998626667073579"/>
      </font>
    </dxf>
    <dxf>
      <font>
        <strike/>
        <color theme="0" tint="-0.34998626667073579"/>
      </font>
    </dxf>
    <dxf>
      <font>
        <strike/>
        <color theme="0" tint="-0.34998626667073579"/>
      </font>
    </dxf>
    <dxf>
      <font>
        <strike/>
        <color theme="0" tint="-0.34998626667073579"/>
      </font>
    </dxf>
    <dxf>
      <font>
        <strike/>
        <color theme="0" tint="-0.34998626667073579"/>
      </font>
    </dxf>
    <dxf>
      <font>
        <strike/>
        <color theme="0" tint="-0.34998626667073579"/>
      </font>
    </dxf>
    <dxf>
      <font>
        <strike/>
        <color theme="0" tint="-0.34998626667073579"/>
      </font>
    </dxf>
    <dxf>
      <font>
        <strike/>
        <color theme="0" tint="-0.34998626667073579"/>
      </font>
    </dxf>
    <dxf>
      <font>
        <b val="0"/>
        <i/>
        <strike/>
        <color theme="0" tint="-0.34998626667073579"/>
      </font>
    </dxf>
    <dxf>
      <font>
        <color rgb="FFFF0000"/>
      </font>
    </dxf>
    <dxf>
      <font>
        <b/>
        <i val="0"/>
        <color rgb="FFFF0000"/>
      </font>
    </dxf>
    <dxf>
      <font>
        <b/>
        <i val="0"/>
        <color rgb="FFFF0000"/>
      </font>
      <fill>
        <patternFill>
          <bgColor rgb="FFFFFF00"/>
        </patternFill>
      </fill>
    </dxf>
    <dxf>
      <font>
        <b/>
        <i val="0"/>
        <color rgb="FFFF0000"/>
      </font>
      <fill>
        <patternFill>
          <bgColor rgb="FFFFFF00"/>
        </patternFill>
      </fill>
    </dxf>
    <dxf>
      <font>
        <b/>
        <i val="0"/>
        <color rgb="FFFF0000"/>
      </font>
      <fill>
        <patternFill>
          <bgColor theme="9"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color theme="1"/>
      </font>
    </dxf>
    <dxf>
      <font>
        <color theme="1"/>
      </font>
    </dxf>
    <dxf>
      <font>
        <color theme="1"/>
      </font>
    </dxf>
    <dxf>
      <font>
        <color theme="1"/>
      </font>
    </dxf>
    <dxf>
      <font>
        <color theme="1"/>
      </font>
    </dxf>
    <dxf>
      <font>
        <color theme="1"/>
      </font>
    </dxf>
    <dxf>
      <font>
        <color theme="1"/>
      </font>
    </dxf>
    <dxf>
      <font>
        <color rgb="FFFF0000"/>
      </font>
    </dxf>
    <dxf>
      <font>
        <strike/>
        <color theme="0" tint="-0.34998626667073579"/>
      </font>
    </dxf>
    <dxf>
      <font>
        <strike/>
        <color theme="0" tint="-0.34998626667073579"/>
      </font>
    </dxf>
    <dxf>
      <font>
        <strike/>
        <color theme="0" tint="-0.34998626667073579"/>
      </font>
    </dxf>
    <dxf>
      <font>
        <strike/>
        <color theme="0" tint="-0.34998626667073579"/>
      </font>
    </dxf>
    <dxf>
      <font>
        <strike/>
        <color theme="0" tint="-0.34998626667073579"/>
      </font>
    </dxf>
    <dxf>
      <font>
        <strike/>
        <color theme="0" tint="-0.34998626667073579"/>
      </font>
    </dxf>
    <dxf>
      <font>
        <strike/>
        <color theme="0" tint="-0.34998626667073579"/>
      </font>
    </dxf>
    <dxf>
      <font>
        <strike/>
        <color theme="0" tint="-0.34998626667073579"/>
      </font>
    </dxf>
    <dxf>
      <font>
        <strike/>
        <color theme="0" tint="-0.34998626667073579"/>
      </font>
    </dxf>
    <dxf>
      <font>
        <strike/>
        <color theme="0" tint="-0.34998626667073579"/>
      </font>
    </dxf>
    <dxf>
      <font>
        <strike/>
        <color theme="0" tint="-0.34998626667073579"/>
      </font>
    </dxf>
    <dxf>
      <font>
        <b val="0"/>
        <i/>
        <strike/>
        <color theme="0" tint="-0.34998626667073579"/>
      </font>
    </dxf>
    <dxf>
      <font>
        <strike/>
        <color theme="0" tint="-0.34998626667073579"/>
      </font>
    </dxf>
    <dxf>
      <font>
        <b/>
        <i val="0"/>
        <color rgb="FFFF0000"/>
      </font>
    </dxf>
    <dxf>
      <font>
        <b/>
        <i val="0"/>
        <color rgb="FFFF0000"/>
      </font>
      <fill>
        <patternFill>
          <bgColor rgb="FFFFFF00"/>
        </patternFill>
      </fill>
    </dxf>
    <dxf>
      <font>
        <b/>
        <i val="0"/>
        <color rgb="FFFF0000"/>
      </font>
      <fill>
        <patternFill>
          <bgColor theme="9" tint="0.79998168889431442"/>
        </patternFill>
      </fill>
    </dxf>
    <dxf>
      <font>
        <b/>
        <i val="0"/>
        <color rgb="FFFF0000"/>
      </font>
      <fill>
        <patternFill>
          <bgColor rgb="FFFFFF00"/>
        </patternFill>
      </fill>
    </dxf>
    <dxf>
      <font>
        <color rgb="FFFF0000"/>
      </font>
    </dxf>
    <dxf>
      <font>
        <color rgb="FFFF0000"/>
      </font>
    </dxf>
    <dxf>
      <font>
        <strike/>
        <color theme="0" tint="-0.34998626667073579"/>
      </font>
    </dxf>
    <dxf>
      <font>
        <b/>
        <i val="0"/>
        <color rgb="FFFF0000"/>
      </font>
    </dxf>
    <dxf>
      <font>
        <b/>
        <i val="0"/>
        <color rgb="FFFF0000"/>
      </font>
      <fill>
        <patternFill>
          <bgColor rgb="FFFFFF00"/>
        </patternFill>
      </fill>
    </dxf>
    <dxf>
      <font>
        <b/>
        <i val="0"/>
        <color rgb="FFFF0000"/>
      </font>
      <fill>
        <patternFill>
          <bgColor rgb="FFFFFF00"/>
        </patternFill>
      </fill>
    </dxf>
    <dxf>
      <font>
        <b/>
        <i val="0"/>
        <color rgb="FFFF0000"/>
      </font>
      <fill>
        <patternFill>
          <bgColor theme="9" tint="0.79998168889431442"/>
        </patternFill>
      </fill>
    </dxf>
    <dxf>
      <font>
        <b/>
        <i val="0"/>
        <color rgb="FFFF0000"/>
      </font>
      <fill>
        <patternFill patternType="solid">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9"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color theme="1"/>
      </font>
    </dxf>
    <dxf>
      <font>
        <color theme="1"/>
      </font>
    </dxf>
    <dxf>
      <font>
        <color theme="1"/>
      </font>
    </dxf>
    <dxf>
      <font>
        <color theme="1"/>
      </font>
    </dxf>
    <dxf>
      <font>
        <color theme="1"/>
      </font>
    </dxf>
    <dxf>
      <font>
        <color theme="1"/>
      </font>
    </dxf>
    <dxf>
      <font>
        <color theme="9" tint="0.79998168889431442"/>
      </font>
      <fill>
        <patternFill>
          <bgColor theme="9" tint="0.79998168889431442"/>
        </patternFill>
      </fill>
    </dxf>
    <dxf>
      <font>
        <color rgb="FFFF0000"/>
      </font>
    </dxf>
    <dxf>
      <font>
        <color rgb="FFFF0000"/>
      </font>
    </dxf>
    <dxf>
      <font>
        <strike/>
        <color rgb="FFFF0000"/>
      </font>
    </dxf>
    <dxf>
      <font>
        <color theme="1"/>
      </font>
    </dxf>
    <dxf>
      <font>
        <color rgb="FFFF0000"/>
      </font>
    </dxf>
    <dxf>
      <font>
        <color rgb="FFFF0000"/>
      </font>
    </dxf>
    <dxf>
      <font>
        <color rgb="FFFF0000"/>
      </font>
    </dxf>
    <dxf>
      <font>
        <color rgb="FFFF0000"/>
      </font>
    </dxf>
    <dxf>
      <font>
        <color rgb="FFFF0000"/>
      </font>
    </dxf>
    <dxf>
      <font>
        <strike/>
        <color theme="0" tint="-0.34998626667073579"/>
      </font>
    </dxf>
    <dxf>
      <font>
        <strike/>
        <color theme="0" tint="-0.34998626667073579"/>
      </font>
    </dxf>
    <dxf>
      <font>
        <strike/>
        <color theme="0" tint="-0.34998626667073579"/>
      </font>
    </dxf>
    <dxf>
      <font>
        <strike/>
        <color theme="0" tint="-0.34998626667073579"/>
      </font>
    </dxf>
    <dxf>
      <font>
        <strike/>
        <color theme="0" tint="-0.34998626667073579"/>
      </font>
    </dxf>
    <dxf>
      <font>
        <strike/>
        <color theme="0" tint="-0.34998626667073579"/>
      </font>
    </dxf>
    <dxf>
      <font>
        <strike/>
        <color theme="0" tint="-0.34998626667073579"/>
      </font>
    </dxf>
    <dxf>
      <font>
        <strike/>
        <color theme="0" tint="-0.34998626667073579"/>
      </font>
    </dxf>
    <dxf>
      <font>
        <strike/>
        <color theme="0" tint="-0.34998626667073579"/>
      </font>
    </dxf>
    <dxf>
      <font>
        <strike/>
        <color theme="0" tint="-0.34998626667073579"/>
      </font>
    </dxf>
    <dxf>
      <font>
        <strike/>
        <color theme="0" tint="-0.34998626667073579"/>
      </font>
    </dxf>
    <dxf>
      <font>
        <strike/>
        <color theme="0" tint="-0.34998626667073579"/>
      </font>
    </dxf>
    <dxf>
      <font>
        <strike/>
        <color theme="0" tint="-0.34998626667073579"/>
      </font>
    </dxf>
    <dxf>
      <font>
        <strike/>
        <color theme="0" tint="-0.34998626667073579"/>
      </font>
    </dxf>
    <dxf>
      <font>
        <b val="0"/>
        <i/>
        <strike/>
        <color theme="0" tint="-0.34998626667073579"/>
      </font>
    </dxf>
    <dxf>
      <font>
        <strike/>
        <color theme="0" tint="-0.34998626667073579"/>
      </font>
    </dxf>
    <dxf>
      <font>
        <strike/>
        <color theme="0" tint="-0.34998626667073579"/>
      </font>
    </dxf>
    <dxf>
      <font>
        <strike/>
        <color theme="0" tint="-0.34998626667073579"/>
      </font>
    </dxf>
    <dxf>
      <font>
        <strike/>
        <color theme="0" tint="-0.34998626667073579"/>
      </font>
    </dxf>
    <dxf>
      <font>
        <strike/>
        <color theme="0" tint="-0.34998626667073579"/>
      </font>
    </dxf>
    <dxf>
      <font>
        <strike/>
        <color theme="0" tint="-0.34998626667073579"/>
      </font>
    </dxf>
    <dxf>
      <font>
        <strike/>
        <color theme="0" tint="-0.34998626667073579"/>
      </font>
    </dxf>
    <dxf>
      <font>
        <strike/>
        <color theme="0" tint="-0.34998626667073579"/>
      </font>
    </dxf>
    <dxf>
      <font>
        <strike/>
        <color theme="0" tint="-0.34998626667073579"/>
      </font>
    </dxf>
    <dxf>
      <font>
        <strike/>
        <color theme="0" tint="-0.34998626667073579"/>
      </font>
    </dxf>
    <dxf>
      <font>
        <strike/>
        <color theme="0" tint="-0.34998626667073579"/>
      </font>
    </dxf>
    <dxf>
      <font>
        <strike/>
        <color theme="0" tint="-0.34998626667073579"/>
      </font>
    </dxf>
    <dxf>
      <font>
        <b/>
        <i val="0"/>
        <color rgb="FFFF0000"/>
      </font>
    </dxf>
    <dxf>
      <font>
        <b/>
        <i val="0"/>
        <color rgb="FFFF0000"/>
      </font>
      <fill>
        <patternFill>
          <bgColor rgb="FFFFFF00"/>
        </patternFill>
      </fill>
    </dxf>
    <dxf>
      <font>
        <b/>
        <i val="0"/>
        <color rgb="FFFF0000"/>
      </font>
      <fill>
        <patternFill>
          <bgColor rgb="FFFFFF00"/>
        </patternFill>
      </fill>
    </dxf>
    <dxf>
      <font>
        <b/>
        <i val="0"/>
        <color rgb="FFFF0000"/>
      </font>
      <fill>
        <patternFill>
          <bgColor theme="9"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color theme="1"/>
      </font>
    </dxf>
    <dxf>
      <font>
        <color theme="1"/>
      </font>
    </dxf>
    <dxf>
      <font>
        <color theme="1"/>
      </font>
    </dxf>
    <dxf>
      <font>
        <color theme="1"/>
      </font>
    </dxf>
    <dxf>
      <font>
        <color theme="1"/>
      </font>
    </dxf>
    <dxf>
      <font>
        <color theme="1"/>
      </font>
    </dxf>
    <dxf>
      <font>
        <strike/>
        <color theme="0" tint="-0.34998626667073579"/>
      </font>
    </dxf>
    <dxf>
      <font>
        <b/>
        <i val="0"/>
        <color rgb="FFFF0000"/>
      </font>
    </dxf>
    <dxf>
      <font>
        <color rgb="FFFF0000"/>
      </font>
    </dxf>
    <dxf>
      <font>
        <color rgb="FFFF0000"/>
      </font>
    </dxf>
    <dxf>
      <font>
        <color rgb="FFFF0000"/>
      </font>
    </dxf>
    <dxf>
      <font>
        <color rgb="FFFF0000"/>
      </font>
    </dxf>
    <dxf>
      <font>
        <color rgb="FFFF0000"/>
      </font>
    </dxf>
    <dxf>
      <font>
        <strike/>
        <color theme="0" tint="-0.34998626667073579"/>
      </font>
    </dxf>
    <dxf>
      <font>
        <strike/>
        <color theme="0" tint="-0.34998626667073579"/>
      </font>
    </dxf>
    <dxf>
      <font>
        <strike/>
        <color theme="0" tint="-0.34998626667073579"/>
      </font>
    </dxf>
    <dxf>
      <font>
        <strike/>
        <color theme="0" tint="-0.34998626667073579"/>
      </font>
    </dxf>
    <dxf>
      <font>
        <strike/>
        <color theme="0" tint="-0.34998626667073579"/>
      </font>
    </dxf>
    <dxf>
      <font>
        <strike/>
        <color theme="0" tint="-0.34998626667073579"/>
      </font>
    </dxf>
    <dxf>
      <font>
        <strike/>
        <color theme="0" tint="-0.34998626667073579"/>
      </font>
    </dxf>
    <dxf>
      <font>
        <strike/>
        <color theme="0" tint="-0.34998626667073579"/>
      </font>
    </dxf>
    <dxf>
      <font>
        <strike/>
        <color theme="0" tint="-0.34998626667073579"/>
      </font>
    </dxf>
    <dxf>
      <font>
        <strike/>
        <color theme="0" tint="-0.34998626667073579"/>
      </font>
    </dxf>
    <dxf>
      <font>
        <strike/>
        <color theme="0" tint="-0.34998626667073579"/>
      </font>
    </dxf>
    <dxf>
      <font>
        <b val="0"/>
        <i/>
        <strike/>
        <color theme="0" tint="-0.34998626667073579"/>
      </font>
    </dxf>
    <dxf>
      <font>
        <strike/>
        <color theme="0" tint="-0.34998626667073579"/>
      </font>
    </dxf>
    <dxf>
      <font>
        <color rgb="FFFF0000"/>
      </font>
    </dxf>
    <dxf>
      <font>
        <b/>
        <i val="0"/>
        <color rgb="FFFF0000"/>
      </font>
    </dxf>
    <dxf>
      <font>
        <b/>
        <i val="0"/>
        <color rgb="FFFF0000"/>
      </font>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color rgb="FFFF0000"/>
      </font>
    </dxf>
    <dxf>
      <font>
        <b val="0"/>
        <i/>
        <strike/>
        <color rgb="FFFF0000"/>
      </font>
    </dxf>
    <dxf>
      <font>
        <color rgb="FFFF0000"/>
      </font>
    </dxf>
    <dxf>
      <font>
        <color rgb="FFFF0000"/>
      </font>
    </dxf>
    <dxf>
      <font>
        <color theme="1"/>
      </font>
    </dxf>
    <dxf>
      <font>
        <color rgb="FFFF0000"/>
      </font>
    </dxf>
    <dxf>
      <font>
        <color rgb="FFFF0000"/>
      </font>
    </dxf>
    <dxf>
      <font>
        <color rgb="FFFF0000"/>
      </font>
    </dxf>
    <dxf>
      <font>
        <color rgb="FFFF0000"/>
      </font>
    </dxf>
    <dxf>
      <font>
        <strike/>
        <color theme="0" tint="-0.34998626667073579"/>
      </font>
    </dxf>
    <dxf>
      <font>
        <strike/>
        <color theme="0" tint="-0.34998626667073579"/>
      </font>
    </dxf>
    <dxf>
      <font>
        <strike/>
        <color theme="0" tint="-0.34998626667073579"/>
      </font>
    </dxf>
    <dxf>
      <font>
        <strike/>
        <color theme="0" tint="-0.34998626667073579"/>
      </font>
    </dxf>
    <dxf>
      <font>
        <strike/>
        <color theme="0" tint="-0.34998626667073579"/>
      </font>
    </dxf>
    <dxf>
      <font>
        <strike/>
        <color theme="0" tint="-0.34998626667073579"/>
      </font>
    </dxf>
    <dxf>
      <font>
        <color rgb="FFFF0000"/>
      </font>
    </dxf>
    <dxf>
      <font>
        <strike/>
        <color theme="0" tint="-0.34998626667073579"/>
      </font>
    </dxf>
    <dxf>
      <font>
        <b val="0"/>
        <i/>
        <strike/>
        <color theme="0" tint="-0.34998626667073579"/>
      </font>
    </dxf>
    <dxf>
      <font>
        <strike/>
        <color theme="0" tint="-0.34998626667073579"/>
      </font>
    </dxf>
    <dxf>
      <font>
        <strike/>
        <color theme="0" tint="-0.34998626667073579"/>
      </font>
    </dxf>
    <dxf>
      <font>
        <strike/>
        <color theme="0" tint="-0.34998626667073579"/>
      </font>
    </dxf>
    <dxf>
      <font>
        <strike/>
        <color theme="0" tint="-0.34998626667073579"/>
      </font>
    </dxf>
    <dxf>
      <font>
        <strike/>
        <color theme="0" tint="-0.34998626667073579"/>
      </font>
    </dxf>
    <dxf>
      <font>
        <b/>
        <i val="0"/>
        <color rgb="FFFF0000"/>
      </font>
    </dxf>
    <dxf>
      <font>
        <b/>
        <i val="0"/>
        <color rgb="FFFF0000"/>
      </font>
    </dxf>
    <dxf>
      <font>
        <b/>
        <i val="0"/>
        <color rgb="FFFF0000"/>
      </font>
      <fill>
        <patternFill>
          <bgColor rgb="FFFFFF00"/>
        </patternFill>
      </fill>
    </dxf>
    <dxf>
      <font>
        <b/>
        <i val="0"/>
        <color rgb="FFFF0000"/>
      </font>
      <fill>
        <patternFill>
          <bgColor theme="9"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9"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color theme="1"/>
      </font>
    </dxf>
    <dxf>
      <font>
        <b/>
        <i val="0"/>
        <color rgb="FFFF0000"/>
      </font>
      <fill>
        <patternFill>
          <bgColor rgb="FFFFFF00"/>
        </patternFill>
      </fill>
    </dxf>
    <dxf>
      <font>
        <b/>
        <i val="0"/>
        <color rgb="FFFF0000"/>
      </font>
      <fill>
        <patternFill>
          <bgColor rgb="FFFFFF00"/>
        </patternFill>
      </fill>
    </dxf>
    <dxf>
      <font>
        <color theme="1"/>
      </font>
    </dxf>
    <dxf>
      <font>
        <color theme="1"/>
      </font>
    </dxf>
    <dxf>
      <font>
        <color theme="1"/>
      </font>
    </dxf>
    <dxf>
      <font>
        <strike/>
        <color theme="0" tint="-0.34998626667073579"/>
      </font>
    </dxf>
    <dxf>
      <font>
        <b/>
        <i val="0"/>
        <color rgb="FFFF0000"/>
      </font>
    </dxf>
    <dxf>
      <font>
        <color rgb="FFFF0000"/>
      </font>
    </dxf>
    <dxf>
      <font>
        <b val="0"/>
        <i/>
        <strike/>
        <color rgb="FFFF0000"/>
      </font>
    </dxf>
    <dxf>
      <font>
        <b val="0"/>
        <i/>
        <strike/>
        <color rgb="FFFF0000"/>
      </font>
    </dxf>
    <dxf>
      <font>
        <b val="0"/>
        <i/>
        <strike/>
        <color rgb="FFFF0000"/>
      </font>
    </dxf>
    <dxf>
      <font>
        <color rgb="FFFF0000"/>
      </font>
    </dxf>
    <dxf>
      <font>
        <color rgb="FFFF0000"/>
      </font>
    </dxf>
    <dxf>
      <font>
        <color theme="1"/>
      </font>
    </dxf>
    <dxf>
      <font>
        <color rgb="FFFF0000"/>
      </font>
    </dxf>
    <dxf>
      <font>
        <color rgb="FFFF0000"/>
      </font>
    </dxf>
    <dxf>
      <font>
        <color rgb="FFFF0000"/>
      </font>
    </dxf>
    <dxf>
      <font>
        <color rgb="FFFF0000"/>
      </font>
    </dxf>
    <dxf>
      <font>
        <strike/>
        <color theme="0" tint="-0.34998626667073579"/>
      </font>
    </dxf>
    <dxf>
      <font>
        <strike/>
        <color theme="0" tint="-0.34998626667073579"/>
      </font>
    </dxf>
    <dxf>
      <font>
        <color rgb="FFFF0000"/>
      </font>
    </dxf>
    <dxf>
      <font>
        <strike/>
        <color theme="0" tint="-0.34998626667073579"/>
      </font>
    </dxf>
    <dxf>
      <font>
        <strike/>
        <color theme="0" tint="-0.34998626667073579"/>
      </font>
    </dxf>
    <dxf>
      <font>
        <strike/>
        <color theme="0" tint="-0.34998626667073579"/>
      </font>
    </dxf>
    <dxf>
      <font>
        <strike/>
        <color theme="0" tint="-0.34998626667073579"/>
      </font>
    </dxf>
    <dxf>
      <font>
        <b val="0"/>
        <i/>
        <strike/>
        <color theme="0" tint="-0.34998626667073579"/>
      </font>
    </dxf>
    <dxf>
      <font>
        <strike/>
        <color theme="0" tint="-0.34998626667073579"/>
      </font>
    </dxf>
    <dxf>
      <font>
        <strike/>
        <color theme="0" tint="-0.34998626667073579"/>
      </font>
    </dxf>
    <dxf>
      <font>
        <strike/>
        <color theme="0" tint="-0.34998626667073579"/>
      </font>
    </dxf>
    <dxf>
      <font>
        <strike/>
        <color theme="0" tint="-0.34998626667073579"/>
      </font>
    </dxf>
    <dxf>
      <font>
        <strike/>
        <color theme="0" tint="-0.34998626667073579"/>
      </font>
    </dxf>
    <dxf>
      <font>
        <strike/>
        <color theme="0" tint="-0.34998626667073579"/>
      </font>
    </dxf>
    <dxf>
      <font>
        <strike/>
        <color theme="0" tint="-0.34998626667073579"/>
      </font>
    </dxf>
    <dxf>
      <font>
        <strike/>
        <color theme="0" tint="-0.34998626667073579"/>
      </font>
    </dxf>
    <dxf>
      <font>
        <strike/>
        <color theme="0" tint="-0.34998626667073579"/>
      </font>
    </dxf>
    <dxf>
      <font>
        <b val="0"/>
        <i/>
        <strike/>
        <color theme="0" tint="-0.34998626667073579"/>
      </font>
    </dxf>
    <dxf>
      <font>
        <strike/>
        <color theme="0" tint="-0.34998626667073579"/>
      </font>
    </dxf>
    <dxf>
      <font>
        <color rgb="FFFF0000"/>
      </font>
    </dxf>
    <dxf>
      <font>
        <b/>
        <i val="0"/>
        <color rgb="FFFF0000"/>
      </font>
    </dxf>
    <dxf>
      <font>
        <b/>
        <i val="0"/>
        <color rgb="FFFF0000"/>
      </font>
    </dxf>
    <dxf>
      <font>
        <b/>
        <i val="0"/>
        <color rgb="FFFF0000"/>
      </font>
      <fill>
        <patternFill>
          <bgColor rgb="FFFFFF00"/>
        </patternFill>
      </fill>
    </dxf>
    <dxf>
      <font>
        <b/>
        <i val="0"/>
        <color rgb="FFFF0000"/>
      </font>
      <fill>
        <patternFill>
          <bgColor theme="9"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9" tint="0.79998168889431442"/>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color theme="1"/>
      </font>
    </dxf>
    <dxf>
      <font>
        <color theme="1"/>
      </font>
    </dxf>
    <dxf>
      <font>
        <b/>
        <i val="0"/>
        <color rgb="FFFF0000"/>
      </font>
      <fill>
        <patternFill>
          <bgColor rgb="FFFFFF00"/>
        </patternFill>
      </fill>
    </dxf>
    <dxf>
      <font>
        <color theme="1"/>
      </font>
    </dxf>
    <dxf>
      <font>
        <color theme="1"/>
      </font>
    </dxf>
    <dxf>
      <font>
        <color theme="1"/>
      </font>
    </dxf>
    <dxf>
      <font>
        <strike/>
        <color theme="0" tint="-0.34998626667073579"/>
      </font>
    </dxf>
    <dxf>
      <font>
        <b/>
        <i val="0"/>
        <color rgb="FFFF0000"/>
      </font>
    </dxf>
    <dxf>
      <font>
        <color rgb="FFFF0000"/>
      </font>
    </dxf>
    <dxf>
      <font>
        <color rgb="FFFF0000"/>
      </font>
    </dxf>
    <dxf>
      <font>
        <b val="0"/>
        <i/>
        <strike/>
        <color rgb="FFFF0000"/>
      </font>
    </dxf>
    <dxf>
      <font>
        <b val="0"/>
        <i/>
        <strike/>
        <color rgb="FFFF0000"/>
      </font>
    </dxf>
    <dxf>
      <font>
        <b val="0"/>
        <i/>
        <strike/>
        <color rgb="FFFF0000"/>
      </font>
    </dxf>
    <dxf>
      <font>
        <color rgb="FFFF0000"/>
      </font>
    </dxf>
    <dxf>
      <font>
        <color rgb="FFFF0000"/>
      </font>
    </dxf>
    <dxf>
      <font>
        <color rgb="FFFF0000"/>
      </font>
    </dxf>
    <dxf>
      <font>
        <color rgb="FFFF0000"/>
      </font>
    </dxf>
    <dxf>
      <font>
        <strike/>
        <color theme="0" tint="-0.34998626667073579"/>
      </font>
    </dxf>
    <dxf>
      <font>
        <strike/>
        <color theme="0" tint="-0.34998626667073579"/>
      </font>
    </dxf>
    <dxf>
      <font>
        <strike/>
        <color theme="0" tint="-0.34998626667073579"/>
      </font>
    </dxf>
    <dxf>
      <font>
        <strike/>
        <color theme="0" tint="-0.34998626667073579"/>
      </font>
    </dxf>
    <dxf>
      <font>
        <strike/>
        <color theme="0" tint="-0.34998626667073579"/>
      </font>
    </dxf>
    <dxf>
      <font>
        <strike/>
        <color theme="0" tint="-0.34998626667073579"/>
      </font>
    </dxf>
    <dxf>
      <font>
        <strike/>
        <color theme="0" tint="-0.34998626667073579"/>
      </font>
    </dxf>
    <dxf>
      <font>
        <strike/>
        <color theme="0" tint="-0.34998626667073579"/>
      </font>
    </dxf>
    <dxf>
      <font>
        <strike/>
        <color theme="0" tint="-0.34998626667073579"/>
      </font>
    </dxf>
    <dxf>
      <font>
        <strike/>
        <color theme="0" tint="-0.34998626667073579"/>
      </font>
    </dxf>
    <dxf>
      <font>
        <strike/>
        <color theme="0" tint="-0.34998626667073579"/>
      </font>
    </dxf>
    <dxf>
      <font>
        <strike/>
        <color theme="0" tint="-0.34998626667073579"/>
      </font>
    </dxf>
    <dxf>
      <font>
        <strike/>
        <color theme="0" tint="-0.34998626667073579"/>
      </font>
    </dxf>
    <dxf>
      <font>
        <color rgb="FFFF0000"/>
      </font>
    </dxf>
    <dxf>
      <font>
        <b/>
        <i val="0"/>
        <color rgb="FFFF0000"/>
      </font>
    </dxf>
    <dxf>
      <font>
        <color rgb="FFFF0000"/>
      </font>
    </dxf>
    <dxf>
      <font>
        <color rgb="FFFF0000"/>
      </font>
    </dxf>
    <dxf>
      <font>
        <color rgb="FFFF0000"/>
      </font>
    </dxf>
    <dxf>
      <font>
        <b/>
        <i val="0"/>
        <strike/>
        <color rgb="FFFF0000"/>
      </font>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styles" Target="styles.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theme" Target="theme/theme1.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calcChain" Target="calcChain.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sharedStrings" Target="sharedStrings.xml"/></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image" Target="../media/image2.png"/></Relationships>
</file>

<file path=xl/drawings/_rels/drawing8.xml.rels><?xml version="1.0" encoding="UTF-8" standalone="yes"?>
<Relationships xmlns="http://schemas.openxmlformats.org/package/2006/relationships"><Relationship Id="rId1" Type="http://schemas.openxmlformats.org/officeDocument/2006/relationships/image" Target="../media/image2.png"/></Relationships>
</file>

<file path=xl/drawings/_rels/drawing10.xml.rels><?xml version="1.0" encoding="UTF-8" standalone="yes"?>
<Relationships xmlns="http://schemas.openxmlformats.org/package/2006/relationships"><Relationship Id="rId1" Type="http://schemas.openxmlformats.org/officeDocument/2006/relationships/image" Target="../media/image3.png"/></Relationships>
</file>

<file path=xl/drawings/drawing1.xml><?xml version="1.0" encoding="utf-8"?>
<xdr:wsDr xmlns:xdr="http://schemas.openxmlformats.org/drawingml/2006/spreadsheetDrawing" xmlns:a="http://schemas.openxmlformats.org/drawingml/2006/main">
  <xdr:oneCellAnchor>
    <xdr:from>
      <xdr:col>1</xdr:col>
      <xdr:colOff>71357</xdr:colOff>
      <xdr:row>0</xdr:row>
      <xdr:rowOff>38101</xdr:rowOff>
    </xdr:from>
    <xdr:ext cx="16357825" cy="576568"/>
    <xdr:sp macro="" textlink="">
      <xdr:nvSpPr>
        <xdr:cNvPr id="2" name="矩形 1">
          <a:extLst>
            <a:ext uri="{FF2B5EF4-FFF2-40B4-BE49-F238E27FC236}">
              <a16:creationId xmlns:a16="http://schemas.microsoft.com/office/drawing/2014/main" id="{00000000-0008-0000-0000-000002000000}"/>
            </a:ext>
          </a:extLst>
        </xdr:cNvPr>
        <xdr:cNvSpPr/>
      </xdr:nvSpPr>
      <xdr:spPr>
        <a:xfrm>
          <a:off x="359993" y="38101"/>
          <a:ext cx="16357825" cy="576568"/>
        </a:xfrm>
        <a:prstGeom prst="rect">
          <a:avLst/>
        </a:prstGeom>
        <a:noFill/>
      </xdr:spPr>
      <xdr:txBody>
        <a:bodyPr wrap="square" lIns="91440" tIns="45720" rIns="91440" bIns="45720">
          <a:spAutoFit/>
        </a:bodyPr>
        <a:lstStyle/>
        <a:p>
          <a:pPr algn="l"/>
          <a:r>
            <a:rPr lang="zh-CN" altLang="en-US" sz="1000" b="1" cap="none" spc="0">
              <a:ln w="0"/>
              <a:solidFill>
                <a:srgbClr val="3A07B9"/>
              </a:solidFill>
              <a:effectLst>
                <a:reflection blurRad="6350" stA="53000" endA="300" endPos="35500" dir="5400000" sy="-90000" algn="bl" rotWithShape="0"/>
              </a:effectLst>
              <a:latin typeface="微软雅黑" panose="020B0503020204020204" pitchFamily="34" charset="-122"/>
              <a:ea typeface="微软雅黑" panose="020B0503020204020204" pitchFamily="34" charset="-122"/>
            </a:rPr>
            <a:t>试算路径：</a:t>
          </a:r>
          <a:r>
            <a:rPr lang="en-US" altLang="zh-CN" sz="1000" b="1" cap="none" spc="0">
              <a:ln w="0"/>
              <a:solidFill>
                <a:srgbClr val="3A07B9"/>
              </a:solidFill>
              <a:effectLst>
                <a:reflection blurRad="6350" stA="53000" endA="300" endPos="35500" dir="5400000" sy="-90000" algn="bl" rotWithShape="0"/>
              </a:effectLst>
              <a:latin typeface="微软雅黑" panose="020B0503020204020204" pitchFamily="34" charset="-122"/>
              <a:ea typeface="微软雅黑" panose="020B0503020204020204" pitchFamily="34" charset="-122"/>
            </a:rPr>
            <a:t>1</a:t>
          </a:r>
          <a:r>
            <a:rPr lang="zh-CN" altLang="en-US" sz="1000" b="1" cap="none" spc="0">
              <a:ln w="0"/>
              <a:solidFill>
                <a:srgbClr val="3A07B9"/>
              </a:solidFill>
              <a:effectLst>
                <a:reflection blurRad="6350" stA="53000" endA="300" endPos="35500" dir="5400000" sy="-90000" algn="bl" rotWithShape="0"/>
              </a:effectLst>
              <a:latin typeface="微软雅黑" panose="020B0503020204020204" pitchFamily="34" charset="-122"/>
              <a:ea typeface="微软雅黑" panose="020B0503020204020204" pitchFamily="34" charset="-122"/>
            </a:rPr>
            <a:t>、“小管家</a:t>
          </a:r>
          <a:r>
            <a:rPr lang="en-US" altLang="zh-CN" sz="1000" b="1" cap="none" spc="0">
              <a:ln w="0"/>
              <a:solidFill>
                <a:srgbClr val="3A07B9"/>
              </a:solidFill>
              <a:effectLst>
                <a:reflection blurRad="6350" stA="53000" endA="300" endPos="35500" dir="5400000" sy="-90000" algn="bl" rotWithShape="0"/>
              </a:effectLst>
              <a:latin typeface="微软雅黑" panose="020B0503020204020204" pitchFamily="34" charset="-122"/>
              <a:ea typeface="微软雅黑" panose="020B0503020204020204" pitchFamily="34" charset="-122"/>
            </a:rPr>
            <a:t>APP</a:t>
          </a:r>
          <a:r>
            <a:rPr lang="zh-CN" altLang="en-US" sz="1000" b="1" cap="none" spc="0">
              <a:ln w="0"/>
              <a:solidFill>
                <a:srgbClr val="3A07B9"/>
              </a:solidFill>
              <a:effectLst>
                <a:reflection blurRad="6350" stA="53000" endA="300" endPos="35500" dir="5400000" sy="-90000" algn="bl" rotWithShape="0"/>
              </a:effectLst>
              <a:latin typeface="微软雅黑" panose="020B0503020204020204" pitchFamily="34" charset="-122"/>
              <a:ea typeface="微软雅黑" panose="020B0503020204020204" pitchFamily="34" charset="-122"/>
            </a:rPr>
            <a:t>”试算模块进行试算；（</a:t>
          </a:r>
          <a:r>
            <a:rPr lang="zh-CN" altLang="zh-CN" sz="1000" b="1" cap="none" spc="0">
              <a:ln w="0"/>
              <a:solidFill>
                <a:srgbClr val="3A07B9"/>
              </a:solidFill>
              <a:effectLst>
                <a:reflection blurRad="6350" stA="53000" endA="300" endPos="35500" dir="5400000" sy="-90000" algn="bl" rotWithShape="0"/>
              </a:effectLst>
              <a:latin typeface="微软雅黑" panose="020B0503020204020204" pitchFamily="34" charset="-122"/>
              <a:ea typeface="微软雅黑" panose="020B0503020204020204" pitchFamily="34" charset="-122"/>
              <a:cs typeface="+mn-cs"/>
            </a:rPr>
            <a:t>推荐销售顾问</a:t>
          </a:r>
          <a:r>
            <a:rPr lang="en-US" altLang="zh-CN" sz="1000" b="1" cap="none" spc="0">
              <a:ln w="0"/>
              <a:solidFill>
                <a:srgbClr val="3A07B9"/>
              </a:solidFill>
              <a:effectLst>
                <a:reflection blurRad="6350" stA="53000" endA="300" endPos="35500" dir="5400000" sy="-90000" algn="bl" rotWithShape="0"/>
              </a:effectLst>
              <a:latin typeface="微软雅黑" panose="020B0503020204020204" pitchFamily="34" charset="-122"/>
              <a:ea typeface="微软雅黑" panose="020B0503020204020204" pitchFamily="34" charset="-122"/>
              <a:cs typeface="+mn-cs"/>
            </a:rPr>
            <a:t>/DCC</a:t>
          </a:r>
          <a:r>
            <a:rPr lang="zh-CN" altLang="zh-CN" sz="1100" b="1" cap="none" spc="0">
              <a:ln w="0"/>
              <a:solidFill>
                <a:srgbClr val="C00000"/>
              </a:solidFill>
              <a:effectLst>
                <a:reflection blurRad="6350" stA="53000" endA="300" endPos="35500" dir="5400000" sy="-90000" algn="bl" rotWithShape="0"/>
              </a:effectLst>
              <a:latin typeface="微软雅黑" panose="020B0503020204020204" pitchFamily="34" charset="-122"/>
              <a:ea typeface="微软雅黑" panose="020B0503020204020204" pitchFamily="34" charset="-122"/>
              <a:cs typeface="+mn-cs"/>
            </a:rPr>
            <a:t>手机端</a:t>
          </a:r>
          <a:r>
            <a:rPr lang="zh-CN" altLang="zh-CN" sz="1000" b="1" cap="none" spc="0">
              <a:ln w="0"/>
              <a:solidFill>
                <a:srgbClr val="3A07B9"/>
              </a:solidFill>
              <a:effectLst>
                <a:reflection blurRad="6350" stA="53000" endA="300" endPos="35500" dir="5400000" sy="-90000" algn="bl" rotWithShape="0"/>
              </a:effectLst>
              <a:latin typeface="微软雅黑" panose="020B0503020204020204" pitchFamily="34" charset="-122"/>
              <a:ea typeface="微软雅黑" panose="020B0503020204020204" pitchFamily="34" charset="-122"/>
              <a:cs typeface="+mn-cs"/>
            </a:rPr>
            <a:t>测算使用</a:t>
          </a:r>
          <a:r>
            <a:rPr lang="zh-CN" altLang="en-US" sz="1000" b="1" cap="none" spc="0">
              <a:ln w="0"/>
              <a:solidFill>
                <a:srgbClr val="3A07B9"/>
              </a:solidFill>
              <a:effectLst>
                <a:reflection blurRad="6350" stA="53000" endA="300" endPos="35500" dir="5400000" sy="-90000" algn="bl" rotWithShape="0"/>
              </a:effectLst>
              <a:latin typeface="微软雅黑" panose="020B0503020204020204" pitchFamily="34" charset="-122"/>
              <a:ea typeface="微软雅黑" panose="020B0503020204020204" pitchFamily="34" charset="-122"/>
              <a:cs typeface="+mn-cs"/>
            </a:rPr>
            <a:t>，更新快，目前支持</a:t>
          </a:r>
          <a:r>
            <a:rPr lang="zh-CN" altLang="en-US" sz="1000" b="1" cap="none" spc="0">
              <a:ln w="0"/>
              <a:solidFill>
                <a:srgbClr val="3A07B9"/>
              </a:solidFill>
              <a:effectLst>
                <a:reflection blurRad="6350" stA="53000" endA="300" endPos="35500" dir="5400000" sy="-90000" algn="bl" rotWithShape="0"/>
              </a:effectLst>
              <a:latin typeface="微软雅黑" panose="020B0503020204020204" pitchFamily="34" charset="-122"/>
              <a:ea typeface="微软雅黑" panose="020B0503020204020204" pitchFamily="34" charset="-122"/>
            </a:rPr>
            <a:t>试算“等额本息类、智慧贷类”还款方式的产品）</a:t>
          </a:r>
          <a:endParaRPr lang="en-US" altLang="zh-CN" sz="1000" b="1" cap="none" spc="0">
            <a:ln w="0"/>
            <a:solidFill>
              <a:srgbClr val="3A07B9"/>
            </a:solidFill>
            <a:effectLst>
              <a:reflection blurRad="6350" stA="53000" endA="300" endPos="35500" dir="5400000" sy="-90000" algn="bl" rotWithShape="0"/>
            </a:effectLst>
            <a:latin typeface="微软雅黑" panose="020B0503020204020204" pitchFamily="34" charset="-122"/>
            <a:ea typeface="微软雅黑" panose="020B0503020204020204" pitchFamily="34" charset="-122"/>
          </a:endParaRPr>
        </a:p>
        <a:p>
          <a:pPr algn="l"/>
          <a:r>
            <a:rPr lang="en-US" altLang="zh-CN" sz="1000" b="1" cap="none" spc="0">
              <a:ln w="0"/>
              <a:solidFill>
                <a:srgbClr val="3A07B9"/>
              </a:solidFill>
              <a:effectLst>
                <a:reflection blurRad="6350" stA="53000" endA="300" endPos="35500" dir="5400000" sy="-90000" algn="bl" rotWithShape="0"/>
              </a:effectLst>
              <a:latin typeface="微软雅黑" panose="020B0503020204020204" pitchFamily="34" charset="-122"/>
              <a:ea typeface="微软雅黑" panose="020B0503020204020204" pitchFamily="34" charset="-122"/>
            </a:rPr>
            <a:t>                 2</a:t>
          </a:r>
          <a:r>
            <a:rPr lang="zh-CN" altLang="en-US" sz="1000" b="1" cap="none" spc="0">
              <a:ln w="0"/>
              <a:solidFill>
                <a:srgbClr val="3A07B9"/>
              </a:solidFill>
              <a:effectLst>
                <a:reflection blurRad="6350" stA="53000" endA="300" endPos="35500" dir="5400000" sy="-90000" algn="bl" rotWithShape="0"/>
              </a:effectLst>
              <a:latin typeface="微软雅黑" panose="020B0503020204020204" pitchFamily="34" charset="-122"/>
              <a:ea typeface="微软雅黑" panose="020B0503020204020204" pitchFamily="34" charset="-122"/>
            </a:rPr>
            <a:t>、</a:t>
          </a:r>
          <a:r>
            <a:rPr lang="en-US" altLang="zh-CN" sz="1000" b="1" cap="none" spc="0">
              <a:ln w="0"/>
              <a:solidFill>
                <a:srgbClr val="3A07B9"/>
              </a:solidFill>
              <a:effectLst>
                <a:reflection blurRad="6350" stA="53000" endA="300" endPos="35500" dir="5400000" sy="-90000" algn="bl" rotWithShape="0"/>
              </a:effectLst>
              <a:latin typeface="微软雅黑" panose="020B0503020204020204" pitchFamily="34" charset="-122"/>
              <a:ea typeface="微软雅黑" panose="020B0503020204020204" pitchFamily="34" charset="-122"/>
            </a:rPr>
            <a:t>EXCEL</a:t>
          </a:r>
          <a:r>
            <a:rPr lang="zh-CN" altLang="en-US" sz="1000" b="1" cap="none" spc="0">
              <a:ln w="0"/>
              <a:solidFill>
                <a:srgbClr val="3A07B9"/>
              </a:solidFill>
              <a:effectLst>
                <a:reflection blurRad="6350" stA="53000" endA="300" endPos="35500" dir="5400000" sy="-90000" algn="bl" rotWithShape="0"/>
              </a:effectLst>
              <a:latin typeface="微软雅黑" panose="020B0503020204020204" pitchFamily="34" charset="-122"/>
              <a:ea typeface="微软雅黑" panose="020B0503020204020204" pitchFamily="34" charset="-122"/>
            </a:rPr>
            <a:t>试算参考表。（推荐</a:t>
          </a:r>
          <a:r>
            <a:rPr lang="en-US" altLang="zh-CN" sz="1100" b="1" cap="none" spc="0">
              <a:ln w="0"/>
              <a:solidFill>
                <a:srgbClr val="C00000"/>
              </a:solidFill>
              <a:effectLst>
                <a:reflection blurRad="6350" stA="53000" endA="300" endPos="35500" dir="5400000" sy="-90000" algn="bl" rotWithShape="0"/>
              </a:effectLst>
              <a:latin typeface="微软雅黑" panose="020B0503020204020204" pitchFamily="34" charset="-122"/>
              <a:ea typeface="微软雅黑" panose="020B0503020204020204" pitchFamily="34" charset="-122"/>
            </a:rPr>
            <a:t>PC</a:t>
          </a:r>
          <a:r>
            <a:rPr lang="zh-CN" altLang="en-US" sz="1100" b="1" cap="none" spc="0">
              <a:ln w="0"/>
              <a:solidFill>
                <a:srgbClr val="C00000"/>
              </a:solidFill>
              <a:effectLst>
                <a:reflection blurRad="6350" stA="53000" endA="300" endPos="35500" dir="5400000" sy="-90000" algn="bl" rotWithShape="0"/>
              </a:effectLst>
              <a:latin typeface="微软雅黑" panose="020B0503020204020204" pitchFamily="34" charset="-122"/>
              <a:ea typeface="微软雅黑" panose="020B0503020204020204" pitchFamily="34" charset="-122"/>
            </a:rPr>
            <a:t>端</a:t>
          </a:r>
          <a:r>
            <a:rPr lang="zh-CN" altLang="en-US" sz="1000" b="1" cap="none" spc="0">
              <a:ln w="0"/>
              <a:solidFill>
                <a:srgbClr val="3A07B9"/>
              </a:solidFill>
              <a:effectLst>
                <a:reflection blurRad="6350" stA="53000" endA="300" endPos="35500" dir="5400000" sy="-90000" algn="bl" rotWithShape="0"/>
              </a:effectLst>
              <a:latin typeface="微软雅黑" panose="020B0503020204020204" pitchFamily="34" charset="-122"/>
              <a:ea typeface="微软雅黑" panose="020B0503020204020204" pitchFamily="34" charset="-122"/>
            </a:rPr>
            <a:t>测算使用，厂商贴息方案需</a:t>
          </a:r>
          <a:r>
            <a:rPr lang="zh-CN" altLang="en-US" sz="1000" b="1" cap="none" spc="0">
              <a:ln w="0"/>
              <a:solidFill>
                <a:srgbClr val="C00000"/>
              </a:solidFill>
              <a:effectLst>
                <a:reflection blurRad="6350" stA="53000" endA="300" endPos="35500" dir="5400000" sy="-90000" algn="bl" rotWithShape="0"/>
              </a:effectLst>
              <a:latin typeface="微软雅黑" panose="020B0503020204020204" pitchFamily="34" charset="-122"/>
              <a:ea typeface="微软雅黑" panose="020B0503020204020204" pitchFamily="34" charset="-122"/>
            </a:rPr>
            <a:t>准确</a:t>
          </a:r>
          <a:r>
            <a:rPr lang="zh-CN" altLang="en-US" sz="1000" b="1" cap="none" spc="0">
              <a:ln w="0"/>
              <a:solidFill>
                <a:srgbClr val="3A07B9"/>
              </a:solidFill>
              <a:effectLst>
                <a:reflection blurRad="6350" stA="53000" endA="300" endPos="35500" dir="5400000" sy="-90000" algn="bl" rotWithShape="0"/>
              </a:effectLst>
              <a:latin typeface="微软雅黑" panose="020B0503020204020204" pitchFamily="34" charset="-122"/>
              <a:ea typeface="微软雅黑" panose="020B0503020204020204" pitchFamily="34" charset="-122"/>
            </a:rPr>
            <a:t>选择</a:t>
          </a:r>
          <a:r>
            <a:rPr lang="zh-CN" altLang="en-US" sz="1000" b="1" cap="none" spc="0">
              <a:ln w="0"/>
              <a:solidFill>
                <a:srgbClr val="C00000"/>
              </a:solidFill>
              <a:effectLst>
                <a:reflection blurRad="6350" stA="53000" endA="300" endPos="35500" dir="5400000" sy="-90000" algn="bl" rotWithShape="0"/>
              </a:effectLst>
              <a:latin typeface="微软雅黑" panose="020B0503020204020204" pitchFamily="34" charset="-122"/>
              <a:ea typeface="微软雅黑" panose="020B0503020204020204" pitchFamily="34" charset="-122"/>
            </a:rPr>
            <a:t>车型</a:t>
          </a:r>
          <a:r>
            <a:rPr lang="zh-CN" altLang="en-US" sz="1000" b="1" cap="none" spc="0">
              <a:ln w="0"/>
              <a:solidFill>
                <a:srgbClr val="3A07B9"/>
              </a:solidFill>
              <a:effectLst>
                <a:reflection blurRad="6350" stA="53000" endA="300" endPos="35500" dir="5400000" sy="-90000" algn="bl" rotWithShape="0"/>
              </a:effectLst>
              <a:latin typeface="微软雅黑" panose="020B0503020204020204" pitchFamily="34" charset="-122"/>
              <a:ea typeface="微软雅黑" panose="020B0503020204020204" pitchFamily="34" charset="-122"/>
              <a:cs typeface="+mn-cs"/>
            </a:rPr>
            <a:t>并</a:t>
          </a:r>
          <a:r>
            <a:rPr lang="zh-CN" altLang="en-US" sz="1000" b="1" cap="none" spc="0">
              <a:ln w="0"/>
              <a:solidFill>
                <a:srgbClr val="3A07B9"/>
              </a:solidFill>
              <a:effectLst>
                <a:reflection blurRad="6350" stA="53000" endA="300" endPos="35500" dir="5400000" sy="-90000" algn="bl" rotWithShape="0"/>
              </a:effectLst>
              <a:latin typeface="微软雅黑" panose="020B0503020204020204" pitchFamily="34" charset="-122"/>
              <a:ea typeface="微软雅黑" panose="020B0503020204020204" pitchFamily="34" charset="-122"/>
            </a:rPr>
            <a:t>及核对车辆的</a:t>
          </a:r>
          <a:r>
            <a:rPr lang="en-US" altLang="zh-CN" sz="1000" b="1" cap="none" spc="0">
              <a:ln w="0"/>
              <a:solidFill>
                <a:srgbClr val="C00000"/>
              </a:solidFill>
              <a:effectLst>
                <a:reflection blurRad="6350" stA="53000" endA="300" endPos="35500" dir="5400000" sy="-90000" algn="bl" rotWithShape="0"/>
              </a:effectLst>
              <a:latin typeface="微软雅黑" panose="020B0503020204020204" pitchFamily="34" charset="-122"/>
              <a:ea typeface="微软雅黑" panose="020B0503020204020204" pitchFamily="34" charset="-122"/>
              <a:cs typeface="+mn-cs"/>
            </a:rPr>
            <a:t>MSRP-</a:t>
          </a:r>
          <a:r>
            <a:rPr lang="zh-CN" altLang="en-US" sz="1000" b="1" cap="none" spc="0">
              <a:ln w="0"/>
              <a:solidFill>
                <a:srgbClr val="C00000"/>
              </a:solidFill>
              <a:effectLst>
                <a:reflection blurRad="6350" stA="53000" endA="300" endPos="35500" dir="5400000" sy="-90000" algn="bl" rotWithShape="0"/>
              </a:effectLst>
              <a:latin typeface="微软雅黑" panose="020B0503020204020204" pitchFamily="34" charset="-122"/>
              <a:ea typeface="微软雅黑" panose="020B0503020204020204" pitchFamily="34" charset="-122"/>
            </a:rPr>
            <a:t>市场指导价</a:t>
          </a:r>
          <a:r>
            <a:rPr lang="zh-CN" altLang="en-US" sz="1000" b="1" cap="none" spc="0">
              <a:ln w="0"/>
              <a:solidFill>
                <a:srgbClr val="3A07B9"/>
              </a:solidFill>
              <a:effectLst>
                <a:reflection blurRad="6350" stA="53000" endA="300" endPos="35500" dir="5400000" sy="-90000" algn="bl" rotWithShape="0"/>
              </a:effectLst>
              <a:latin typeface="微软雅黑" panose="020B0503020204020204" pitchFamily="34" charset="-122"/>
              <a:ea typeface="微软雅黑" panose="020B0503020204020204" pitchFamily="34" charset="-122"/>
            </a:rPr>
            <a:t>）</a:t>
          </a:r>
          <a:endParaRPr lang="en-US" altLang="zh-CN" sz="1000" b="1" cap="none" spc="0">
            <a:ln w="0"/>
            <a:solidFill>
              <a:srgbClr val="3A07B9"/>
            </a:solidFill>
            <a:effectLst>
              <a:reflection blurRad="6350" stA="53000" endA="300" endPos="35500" dir="5400000" sy="-90000" algn="bl" rotWithShape="0"/>
            </a:effectLst>
            <a:latin typeface="微软雅黑" panose="020B0503020204020204" pitchFamily="34" charset="-122"/>
            <a:ea typeface="微软雅黑" panose="020B0503020204020204" pitchFamily="34" charset="-122"/>
          </a:endParaRPr>
        </a:p>
      </xdr:txBody>
    </xdr:sp>
    <xdr:clientData/>
  </xdr:oneCellAnchor>
</xdr:wsDr>
</file>

<file path=xl/drawings/drawing2.xml><?xml version="1.0" encoding="utf-8"?>
<xdr:wsDr xmlns:xdr="http://schemas.openxmlformats.org/drawingml/2006/spreadsheetDrawing" xmlns:a="http://schemas.openxmlformats.org/drawingml/2006/main">
  <xdr:twoCellAnchor editAs="oneCell">
    <xdr:from>
      <xdr:col>16</xdr:col>
      <xdr:colOff>719670</xdr:colOff>
      <xdr:row>0</xdr:row>
      <xdr:rowOff>116417</xdr:rowOff>
    </xdr:from>
    <xdr:to>
      <xdr:col>22</xdr:col>
      <xdr:colOff>95253</xdr:colOff>
      <xdr:row>6</xdr:row>
      <xdr:rowOff>597858</xdr:rowOff>
    </xdr:to>
    <xdr:pic>
      <xdr:nvPicPr>
        <xdr:cNvPr id="4" name="图片 3">
          <a:extLst>
            <a:ext uri="{FF2B5EF4-FFF2-40B4-BE49-F238E27FC236}">
              <a16:creationId xmlns:a16="http://schemas.microsoft.com/office/drawing/2014/main" id="{3A21000D-B33F-41C0-A06A-1DB0816917E5}"/>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20764503" y="116417"/>
          <a:ext cx="5259916" cy="3090714"/>
        </a:xfrm>
        <a:prstGeom prst="rect">
          <a:avLst/>
        </a:prstGeom>
        <a:ln>
          <a:solidFill>
            <a:schemeClr val="accent1"/>
          </a:solidFill>
        </a:ln>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6</xdr:col>
      <xdr:colOff>177800</xdr:colOff>
      <xdr:row>26</xdr:row>
      <xdr:rowOff>0</xdr:rowOff>
    </xdr:from>
    <xdr:to>
      <xdr:col>11</xdr:col>
      <xdr:colOff>2171700</xdr:colOff>
      <xdr:row>27</xdr:row>
      <xdr:rowOff>56577</xdr:rowOff>
    </xdr:to>
    <xdr:pic>
      <xdr:nvPicPr>
        <xdr:cNvPr id="2" name="图片 1">
          <a:extLst>
            <a:ext uri="{FF2B5EF4-FFF2-40B4-BE49-F238E27FC236}">
              <a16:creationId xmlns:a16="http://schemas.microsoft.com/office/drawing/2014/main" id="{00000000-0008-0000-0600-0000020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8280400" y="6654800"/>
          <a:ext cx="6540500" cy="3599877"/>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oneCellAnchor>
    <xdr:from>
      <xdr:col>3</xdr:col>
      <xdr:colOff>938009</xdr:colOff>
      <xdr:row>0</xdr:row>
      <xdr:rowOff>0</xdr:rowOff>
    </xdr:from>
    <xdr:ext cx="4755825" cy="884345"/>
    <xdr:sp macro="" textlink="">
      <xdr:nvSpPr>
        <xdr:cNvPr id="2" name="矩形 1">
          <a:extLst>
            <a:ext uri="{FF2B5EF4-FFF2-40B4-BE49-F238E27FC236}">
              <a16:creationId xmlns:a16="http://schemas.microsoft.com/office/drawing/2014/main" id="{00000000-0008-0000-0A00-000002000000}"/>
            </a:ext>
          </a:extLst>
        </xdr:cNvPr>
        <xdr:cNvSpPr/>
      </xdr:nvSpPr>
      <xdr:spPr>
        <a:xfrm>
          <a:off x="3901342" y="0"/>
          <a:ext cx="4755825" cy="884345"/>
        </a:xfrm>
        <a:prstGeom prst="rect">
          <a:avLst/>
        </a:prstGeom>
        <a:noFill/>
      </xdr:spPr>
      <xdr:txBody>
        <a:bodyPr wrap="square" lIns="91440" tIns="45720" rIns="91440" bIns="45720">
          <a:spAutoFit/>
        </a:bodyPr>
        <a:lstStyle/>
        <a:p>
          <a:pPr marL="0" marR="0" lvl="0" indent="0" algn="ctr" defTabSz="914400" rtl="0" eaLnBrk="1" fontAlgn="auto" latinLnBrk="0" hangingPunct="1">
            <a:lnSpc>
              <a:spcPct val="100000"/>
            </a:lnSpc>
            <a:spcBef>
              <a:spcPts val="0"/>
            </a:spcBef>
            <a:spcAft>
              <a:spcPts val="0"/>
            </a:spcAft>
            <a:buClrTx/>
            <a:buSzTx/>
            <a:buFontTx/>
            <a:buNone/>
            <a:tabLst/>
            <a:defRPr/>
          </a:pPr>
          <a:r>
            <a:rPr kumimoji="0" lang="zh-CN" altLang="en-US" sz="3600" b="0" i="0" u="none" strike="noStrike" kern="0" cap="none" spc="0" normalizeH="0" baseline="0" noProof="0">
              <a:ln w="0"/>
              <a:solidFill>
                <a:srgbClr val="0070C0"/>
              </a:solidFill>
              <a:effectLst>
                <a:reflection blurRad="6350" stA="53000" endA="300" endPos="35500" dir="5400000" sy="-90000" algn="bl" rotWithShape="0"/>
              </a:effectLst>
              <a:uLnTx/>
              <a:uFillTx/>
              <a:latin typeface="华文琥珀" panose="02010800040101010101" pitchFamily="2" charset="-122"/>
              <a:ea typeface="华文琥珀" panose="02010800040101010101" pitchFamily="2" charset="-122"/>
              <a:cs typeface="+mn-cs"/>
            </a:rPr>
            <a:t>非厂贴</a:t>
          </a:r>
          <a:r>
            <a:rPr lang="en-US" altLang="zh-CN" sz="3600" b="1" cap="none" spc="0">
              <a:ln w="0"/>
              <a:solidFill>
                <a:srgbClr val="002060"/>
              </a:solidFill>
              <a:effectLst>
                <a:outerShdw blurRad="38100" dist="19050" dir="2700000" algn="tl" rotWithShape="0">
                  <a:schemeClr val="dk1">
                    <a:alpha val="40000"/>
                  </a:schemeClr>
                </a:outerShdw>
              </a:effectLst>
              <a:latin typeface="微软雅黑" panose="020B0503020204020204" pitchFamily="34" charset="-122"/>
              <a:ea typeface="微软雅黑" panose="020B0503020204020204" pitchFamily="34" charset="-122"/>
            </a:rPr>
            <a:t> </a:t>
          </a:r>
          <a:r>
            <a:rPr lang="zh-CN" altLang="en-US" sz="3600" b="1" cap="none" spc="0">
              <a:ln w="0"/>
              <a:solidFill>
                <a:srgbClr val="002060"/>
              </a:solidFill>
              <a:effectLst>
                <a:outerShdw blurRad="38100" dist="19050" dir="2700000" algn="tl" rotWithShape="0">
                  <a:schemeClr val="dk1">
                    <a:alpha val="40000"/>
                  </a:schemeClr>
                </a:outerShdw>
              </a:effectLst>
              <a:latin typeface="微软雅黑" panose="020B0503020204020204" pitchFamily="34" charset="-122"/>
              <a:ea typeface="微软雅黑" panose="020B0503020204020204" pitchFamily="34" charset="-122"/>
            </a:rPr>
            <a:t>“双优贷</a:t>
          </a:r>
          <a:r>
            <a:rPr lang="en-US" altLang="zh-CN" sz="3600" b="1" cap="none" spc="0">
              <a:ln w="0"/>
              <a:solidFill>
                <a:srgbClr val="002060"/>
              </a:solidFill>
              <a:effectLst>
                <a:outerShdw blurRad="38100" dist="19050" dir="2700000" algn="tl" rotWithShape="0">
                  <a:schemeClr val="dk1">
                    <a:alpha val="40000"/>
                  </a:schemeClr>
                </a:outerShdw>
              </a:effectLst>
              <a:latin typeface="微软雅黑" panose="020B0503020204020204" pitchFamily="34" charset="-122"/>
              <a:ea typeface="微软雅黑" panose="020B0503020204020204" pitchFamily="34" charset="-122"/>
            </a:rPr>
            <a:t>2.0</a:t>
          </a:r>
          <a:r>
            <a:rPr lang="zh-CN" altLang="en-US" sz="3600" b="1" cap="none" spc="0">
              <a:ln w="0"/>
              <a:solidFill>
                <a:srgbClr val="002060"/>
              </a:solidFill>
              <a:effectLst>
                <a:outerShdw blurRad="38100" dist="19050" dir="2700000" algn="tl" rotWithShape="0">
                  <a:schemeClr val="dk1">
                    <a:alpha val="40000"/>
                  </a:schemeClr>
                </a:outerShdw>
              </a:effectLst>
              <a:latin typeface="微软雅黑" panose="020B0503020204020204" pitchFamily="34" charset="-122"/>
              <a:ea typeface="微软雅黑" panose="020B0503020204020204" pitchFamily="34" charset="-122"/>
            </a:rPr>
            <a:t>”</a:t>
          </a:r>
          <a:endParaRPr lang="zh-CN" altLang="zh-CN" sz="3600" b="1" cap="none" spc="0">
            <a:ln w="0"/>
            <a:solidFill>
              <a:srgbClr val="002060"/>
            </a:solidFill>
            <a:effectLst>
              <a:outerShdw blurRad="38100" dist="19050" dir="2700000" algn="tl" rotWithShape="0">
                <a:schemeClr val="dk1">
                  <a:alpha val="40000"/>
                </a:schemeClr>
              </a:outerShdw>
            </a:effectLst>
            <a:latin typeface="微软雅黑" panose="020B0503020204020204" pitchFamily="34" charset="-122"/>
            <a:ea typeface="微软雅黑" panose="020B0503020204020204" pitchFamily="34" charset="-122"/>
          </a:endParaRPr>
        </a:p>
      </xdr:txBody>
    </xdr:sp>
    <xdr:clientData/>
  </xdr:oneCellAnchor>
</xdr:wsDr>
</file>

<file path=xl/drawings/drawing5.xml><?xml version="1.0" encoding="utf-8"?>
<xdr:wsDr xmlns:xdr="http://schemas.openxmlformats.org/drawingml/2006/spreadsheetDrawing" xmlns:a="http://schemas.openxmlformats.org/drawingml/2006/main">
  <xdr:oneCellAnchor>
    <xdr:from>
      <xdr:col>3</xdr:col>
      <xdr:colOff>938009</xdr:colOff>
      <xdr:row>0</xdr:row>
      <xdr:rowOff>0</xdr:rowOff>
    </xdr:from>
    <xdr:ext cx="4597075" cy="884345"/>
    <xdr:sp macro="" textlink="">
      <xdr:nvSpPr>
        <xdr:cNvPr id="2" name="矩形 1">
          <a:extLst>
            <a:ext uri="{FF2B5EF4-FFF2-40B4-BE49-F238E27FC236}">
              <a16:creationId xmlns:a16="http://schemas.microsoft.com/office/drawing/2014/main" id="{00000000-0008-0000-0B00-000002000000}"/>
            </a:ext>
          </a:extLst>
        </xdr:cNvPr>
        <xdr:cNvSpPr/>
      </xdr:nvSpPr>
      <xdr:spPr>
        <a:xfrm>
          <a:off x="3901342" y="0"/>
          <a:ext cx="4597075" cy="884345"/>
        </a:xfrm>
        <a:prstGeom prst="rect">
          <a:avLst/>
        </a:prstGeom>
        <a:noFill/>
      </xdr:spPr>
      <xdr:txBody>
        <a:bodyPr wrap="square" lIns="91440" tIns="45720" rIns="91440" bIns="45720">
          <a:spAutoFit/>
        </a:bodyPr>
        <a:lstStyle/>
        <a:p>
          <a:pPr marL="0" marR="0" lvl="0" indent="0" algn="ctr" defTabSz="914400" rtl="0" eaLnBrk="1" fontAlgn="auto" latinLnBrk="0" hangingPunct="1">
            <a:lnSpc>
              <a:spcPct val="100000"/>
            </a:lnSpc>
            <a:spcBef>
              <a:spcPts val="0"/>
            </a:spcBef>
            <a:spcAft>
              <a:spcPts val="0"/>
            </a:spcAft>
            <a:buClrTx/>
            <a:buSzTx/>
            <a:buFontTx/>
            <a:buNone/>
            <a:tabLst/>
            <a:defRPr/>
          </a:pPr>
          <a:r>
            <a:rPr kumimoji="0" lang="zh-CN" altLang="en-US" sz="3600" b="0" i="0" u="none" strike="noStrike" kern="0" cap="none" spc="0" normalizeH="0" baseline="0" noProof="0">
              <a:ln w="0"/>
              <a:solidFill>
                <a:srgbClr val="0070C0"/>
              </a:solidFill>
              <a:effectLst>
                <a:reflection blurRad="6350" stA="53000" endA="300" endPos="35500" dir="5400000" sy="-90000" algn="bl" rotWithShape="0"/>
              </a:effectLst>
              <a:uLnTx/>
              <a:uFillTx/>
              <a:latin typeface="华文琥珀" panose="02010800040101010101" pitchFamily="2" charset="-122"/>
              <a:ea typeface="华文琥珀" panose="02010800040101010101" pitchFamily="2" charset="-122"/>
              <a:cs typeface="+mn-cs"/>
            </a:rPr>
            <a:t>非厂贴</a:t>
          </a:r>
          <a:r>
            <a:rPr lang="en-US" altLang="zh-CN" sz="3600" b="1" cap="none" spc="0">
              <a:ln w="0"/>
              <a:solidFill>
                <a:srgbClr val="002060"/>
              </a:solidFill>
              <a:effectLst>
                <a:outerShdw blurRad="38100" dist="19050" dir="2700000" algn="tl" rotWithShape="0">
                  <a:schemeClr val="dk1">
                    <a:alpha val="40000"/>
                  </a:schemeClr>
                </a:outerShdw>
              </a:effectLst>
              <a:latin typeface="微软雅黑" panose="020B0503020204020204" pitchFamily="34" charset="-122"/>
              <a:ea typeface="微软雅黑" panose="020B0503020204020204" pitchFamily="34" charset="-122"/>
            </a:rPr>
            <a:t> </a:t>
          </a:r>
          <a:r>
            <a:rPr lang="zh-CN" altLang="en-US" sz="3600" b="1" cap="none" spc="0">
              <a:ln w="0"/>
              <a:solidFill>
                <a:srgbClr val="002060"/>
              </a:solidFill>
              <a:effectLst>
                <a:outerShdw blurRad="38100" dist="19050" dir="2700000" algn="tl" rotWithShape="0">
                  <a:schemeClr val="dk1">
                    <a:alpha val="40000"/>
                  </a:schemeClr>
                </a:outerShdw>
              </a:effectLst>
              <a:latin typeface="微软雅黑" panose="020B0503020204020204" pitchFamily="34" charset="-122"/>
              <a:ea typeface="微软雅黑" panose="020B0503020204020204" pitchFamily="34" charset="-122"/>
            </a:rPr>
            <a:t>“双优贷</a:t>
          </a:r>
          <a:r>
            <a:rPr lang="en-US" altLang="zh-CN" sz="3600" b="1" cap="none" spc="0">
              <a:ln w="0"/>
              <a:solidFill>
                <a:srgbClr val="002060"/>
              </a:solidFill>
              <a:effectLst>
                <a:outerShdw blurRad="38100" dist="19050" dir="2700000" algn="tl" rotWithShape="0">
                  <a:schemeClr val="dk1">
                    <a:alpha val="40000"/>
                  </a:schemeClr>
                </a:outerShdw>
              </a:effectLst>
              <a:latin typeface="微软雅黑" panose="020B0503020204020204" pitchFamily="34" charset="-122"/>
              <a:ea typeface="微软雅黑" panose="020B0503020204020204" pitchFamily="34" charset="-122"/>
            </a:rPr>
            <a:t>1.0</a:t>
          </a:r>
          <a:r>
            <a:rPr lang="zh-CN" altLang="en-US" sz="3600" b="1" cap="none" spc="0">
              <a:ln w="0"/>
              <a:solidFill>
                <a:srgbClr val="002060"/>
              </a:solidFill>
              <a:effectLst>
                <a:outerShdw blurRad="38100" dist="19050" dir="2700000" algn="tl" rotWithShape="0">
                  <a:schemeClr val="dk1">
                    <a:alpha val="40000"/>
                  </a:schemeClr>
                </a:outerShdw>
              </a:effectLst>
              <a:latin typeface="微软雅黑" panose="020B0503020204020204" pitchFamily="34" charset="-122"/>
              <a:ea typeface="微软雅黑" panose="020B0503020204020204" pitchFamily="34" charset="-122"/>
            </a:rPr>
            <a:t>”</a:t>
          </a:r>
          <a:endParaRPr lang="zh-CN" altLang="zh-CN" sz="3600" b="1" cap="none" spc="0">
            <a:ln w="0"/>
            <a:solidFill>
              <a:srgbClr val="002060"/>
            </a:solidFill>
            <a:effectLst>
              <a:outerShdw blurRad="38100" dist="19050" dir="2700000" algn="tl" rotWithShape="0">
                <a:schemeClr val="dk1">
                  <a:alpha val="40000"/>
                </a:schemeClr>
              </a:outerShdw>
            </a:effectLst>
            <a:latin typeface="微软雅黑" panose="020B0503020204020204" pitchFamily="34" charset="-122"/>
            <a:ea typeface="微软雅黑" panose="020B0503020204020204" pitchFamily="34" charset="-122"/>
          </a:endParaRPr>
        </a:p>
      </xdr:txBody>
    </xdr:sp>
    <xdr:clientData/>
  </xdr:oneCellAnchor>
</xdr:wsDr>
</file>

<file path=xl/drawings/drawing6.xml><?xml version="1.0" encoding="utf-8"?>
<xdr:wsDr xmlns:xdr="http://schemas.openxmlformats.org/drawingml/2006/spreadsheetDrawing" xmlns:a="http://schemas.openxmlformats.org/drawingml/2006/main">
  <xdr:oneCellAnchor>
    <xdr:from>
      <xdr:col>9</xdr:col>
      <xdr:colOff>268542</xdr:colOff>
      <xdr:row>0</xdr:row>
      <xdr:rowOff>76200</xdr:rowOff>
    </xdr:from>
    <xdr:ext cx="3877985" cy="711220"/>
    <xdr:sp macro="" textlink="">
      <xdr:nvSpPr>
        <xdr:cNvPr id="2" name="矩形 1">
          <a:extLst>
            <a:ext uri="{FF2B5EF4-FFF2-40B4-BE49-F238E27FC236}">
              <a16:creationId xmlns:a16="http://schemas.microsoft.com/office/drawing/2014/main" id="{00000000-0008-0000-0C00-000002000000}"/>
            </a:ext>
          </a:extLst>
        </xdr:cNvPr>
        <xdr:cNvSpPr/>
      </xdr:nvSpPr>
      <xdr:spPr>
        <a:xfrm>
          <a:off x="9234742" y="76200"/>
          <a:ext cx="3877985" cy="711220"/>
        </a:xfrm>
        <a:prstGeom prst="rect">
          <a:avLst/>
        </a:prstGeom>
        <a:noFill/>
      </xdr:spPr>
      <xdr:txBody>
        <a:bodyPr wrap="none" lIns="91440" tIns="45720" rIns="91440" bIns="45720">
          <a:spAutoFit/>
        </a:bodyPr>
        <a:lstStyle/>
        <a:p>
          <a:pPr marL="0" marR="0" lvl="0" indent="0" algn="ctr" defTabSz="914400" rtl="0" eaLnBrk="1" fontAlgn="auto" latinLnBrk="0" hangingPunct="1">
            <a:lnSpc>
              <a:spcPct val="100000"/>
            </a:lnSpc>
            <a:spcBef>
              <a:spcPts val="0"/>
            </a:spcBef>
            <a:spcAft>
              <a:spcPts val="0"/>
            </a:spcAft>
            <a:buClrTx/>
            <a:buSzTx/>
            <a:buFontTx/>
            <a:buNone/>
            <a:tabLst/>
            <a:defRPr/>
          </a:pPr>
          <a:r>
            <a:rPr lang="zh-CN" altLang="en-US" sz="3600" b="0" cap="none" spc="0">
              <a:ln w="0"/>
              <a:solidFill>
                <a:srgbClr val="0070C0"/>
              </a:solidFill>
              <a:effectLst>
                <a:reflection blurRad="6350" stA="53000" endA="300" endPos="35500" dir="5400000" sy="-90000" algn="bl" rotWithShape="0"/>
              </a:effectLst>
              <a:latin typeface="华文琥珀" panose="02010800040101010101" pitchFamily="2" charset="-122"/>
              <a:ea typeface="华文琥珀" panose="02010800040101010101" pitchFamily="2" charset="-122"/>
            </a:rPr>
            <a:t>非厂贴</a:t>
          </a:r>
          <a:r>
            <a:rPr lang="zh-CN" altLang="en-US" sz="3600" b="0" cap="none" spc="0">
              <a:ln w="0"/>
              <a:solidFill>
                <a:srgbClr val="002060"/>
              </a:solidFill>
              <a:effectLst>
                <a:reflection blurRad="6350" stA="53000" endA="300" endPos="35500" dir="5400000" sy="-90000" algn="bl" rotWithShape="0"/>
              </a:effectLst>
              <a:latin typeface="华文琥珀" panose="02010800040101010101" pitchFamily="2" charset="-122"/>
              <a:ea typeface="华文琥珀" panose="02010800040101010101" pitchFamily="2" charset="-122"/>
            </a:rPr>
            <a:t>“新通用”</a:t>
          </a:r>
          <a:endParaRPr lang="zh-CN" altLang="zh-CN" sz="3600">
            <a:solidFill>
              <a:srgbClr val="002060"/>
            </a:solidFill>
            <a:effectLst/>
            <a:latin typeface="华文琥珀" panose="02010800040101010101" pitchFamily="2" charset="-122"/>
            <a:ea typeface="华文琥珀" panose="02010800040101010101" pitchFamily="2" charset="-122"/>
          </a:endParaRPr>
        </a:p>
      </xdr:txBody>
    </xdr:sp>
    <xdr:clientData/>
  </xdr:oneCellAnchor>
</xdr:wsDr>
</file>

<file path=xl/drawings/drawing7.xml><?xml version="1.0" encoding="utf-8"?>
<xdr:wsDr xmlns:xdr="http://schemas.openxmlformats.org/drawingml/2006/spreadsheetDrawing" xmlns:a="http://schemas.openxmlformats.org/drawingml/2006/main">
  <xdr:oneCellAnchor>
    <xdr:from>
      <xdr:col>8</xdr:col>
      <xdr:colOff>473626</xdr:colOff>
      <xdr:row>0</xdr:row>
      <xdr:rowOff>63500</xdr:rowOff>
    </xdr:from>
    <xdr:ext cx="4801314" cy="711220"/>
    <xdr:sp macro="" textlink="">
      <xdr:nvSpPr>
        <xdr:cNvPr id="2" name="矩形 1">
          <a:extLst>
            <a:ext uri="{FF2B5EF4-FFF2-40B4-BE49-F238E27FC236}">
              <a16:creationId xmlns:a16="http://schemas.microsoft.com/office/drawing/2014/main" id="{00000000-0008-0000-0D00-000002000000}"/>
            </a:ext>
          </a:extLst>
        </xdr:cNvPr>
        <xdr:cNvSpPr/>
      </xdr:nvSpPr>
      <xdr:spPr>
        <a:xfrm>
          <a:off x="8646076" y="63500"/>
          <a:ext cx="4801314" cy="711220"/>
        </a:xfrm>
        <a:prstGeom prst="rect">
          <a:avLst/>
        </a:prstGeom>
        <a:noFill/>
      </xdr:spPr>
      <xdr:txBody>
        <a:bodyPr wrap="none" lIns="91440" tIns="45720" rIns="91440" bIns="45720">
          <a:spAutoFit/>
        </a:bodyPr>
        <a:lstStyle/>
        <a:p>
          <a:pPr marL="0" marR="0" lvl="0" indent="0" algn="ctr" defTabSz="914400" rtl="0" eaLnBrk="1" fontAlgn="auto" latinLnBrk="0" hangingPunct="1">
            <a:lnSpc>
              <a:spcPct val="100000"/>
            </a:lnSpc>
            <a:spcBef>
              <a:spcPts val="0"/>
            </a:spcBef>
            <a:spcAft>
              <a:spcPts val="0"/>
            </a:spcAft>
            <a:buClrTx/>
            <a:buSzTx/>
            <a:buFontTx/>
            <a:buNone/>
            <a:tabLst/>
            <a:defRPr/>
          </a:pPr>
          <a:r>
            <a:rPr lang="zh-CN" altLang="en-US" sz="3600" b="0" cap="none" spc="0">
              <a:ln w="0"/>
              <a:solidFill>
                <a:srgbClr val="0070C0"/>
              </a:solidFill>
              <a:effectLst>
                <a:reflection blurRad="6350" stA="53000" endA="300" endPos="35500" dir="5400000" sy="-90000" algn="bl" rotWithShape="0"/>
              </a:effectLst>
              <a:latin typeface="华文琥珀" panose="02010800040101010101" pitchFamily="2" charset="-122"/>
              <a:ea typeface="华文琥珀" panose="02010800040101010101" pitchFamily="2" charset="-122"/>
            </a:rPr>
            <a:t>经销商贴息</a:t>
          </a:r>
          <a:r>
            <a:rPr lang="zh-CN" altLang="en-US" sz="3600" b="0" cap="none" spc="0">
              <a:ln w="0"/>
              <a:solidFill>
                <a:srgbClr val="002060"/>
              </a:solidFill>
              <a:effectLst>
                <a:reflection blurRad="6350" stA="53000" endA="300" endPos="35500" dir="5400000" sy="-90000" algn="bl" rotWithShape="0"/>
              </a:effectLst>
              <a:latin typeface="华文琥珀" panose="02010800040101010101" pitchFamily="2" charset="-122"/>
              <a:ea typeface="华文琥珀" panose="02010800040101010101" pitchFamily="2" charset="-122"/>
            </a:rPr>
            <a:t>“新通用”</a:t>
          </a:r>
          <a:endParaRPr lang="zh-CN" altLang="zh-CN" sz="3600">
            <a:solidFill>
              <a:srgbClr val="002060"/>
            </a:solidFill>
            <a:effectLst/>
            <a:latin typeface="华文琥珀" panose="02010800040101010101" pitchFamily="2" charset="-122"/>
            <a:ea typeface="华文琥珀" panose="02010800040101010101" pitchFamily="2" charset="-122"/>
          </a:endParaRPr>
        </a:p>
      </xdr:txBody>
    </xdr:sp>
    <xdr:clientData/>
  </xdr:oneCellAnchor>
</xdr:wsDr>
</file>

<file path=xl/drawings/drawing8.xml><?xml version="1.0" encoding="utf-8"?>
<xdr:wsDr xmlns:xdr="http://schemas.openxmlformats.org/drawingml/2006/spreadsheetDrawing" xmlns:a="http://schemas.openxmlformats.org/drawingml/2006/main">
  <xdr:twoCellAnchor editAs="oneCell">
    <xdr:from>
      <xdr:col>6</xdr:col>
      <xdr:colOff>127000</xdr:colOff>
      <xdr:row>23</xdr:row>
      <xdr:rowOff>0</xdr:rowOff>
    </xdr:from>
    <xdr:to>
      <xdr:col>9</xdr:col>
      <xdr:colOff>203200</xdr:colOff>
      <xdr:row>24</xdr:row>
      <xdr:rowOff>56577</xdr:rowOff>
    </xdr:to>
    <xdr:pic>
      <xdr:nvPicPr>
        <xdr:cNvPr id="2" name="图片 1">
          <a:extLst>
            <a:ext uri="{FF2B5EF4-FFF2-40B4-BE49-F238E27FC236}">
              <a16:creationId xmlns:a16="http://schemas.microsoft.com/office/drawing/2014/main" id="{00000000-0008-0000-0E00-0000020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8229600" y="6731000"/>
          <a:ext cx="6540500" cy="3599877"/>
        </a:xfrm>
        <a:prstGeom prst="rect">
          <a:avLst/>
        </a:prstGeom>
      </xdr:spPr>
    </xdr:pic>
    <xdr:clientData/>
  </xdr:twoCellAnchor>
  <xdr:oneCellAnchor>
    <xdr:from>
      <xdr:col>3</xdr:col>
      <xdr:colOff>1009344</xdr:colOff>
      <xdr:row>0</xdr:row>
      <xdr:rowOff>127000</xdr:rowOff>
    </xdr:from>
    <xdr:ext cx="3960636" cy="711220"/>
    <xdr:sp macro="" textlink="">
      <xdr:nvSpPr>
        <xdr:cNvPr id="3" name="矩形 2">
          <a:extLst>
            <a:ext uri="{FF2B5EF4-FFF2-40B4-BE49-F238E27FC236}">
              <a16:creationId xmlns:a16="http://schemas.microsoft.com/office/drawing/2014/main" id="{00000000-0008-0000-0E00-000003000000}"/>
            </a:ext>
          </a:extLst>
        </xdr:cNvPr>
        <xdr:cNvSpPr/>
      </xdr:nvSpPr>
      <xdr:spPr>
        <a:xfrm>
          <a:off x="5149544" y="127000"/>
          <a:ext cx="3960636" cy="711220"/>
        </a:xfrm>
        <a:prstGeom prst="rect">
          <a:avLst/>
        </a:prstGeom>
        <a:noFill/>
      </xdr:spPr>
      <xdr:txBody>
        <a:bodyPr wrap="none" lIns="91440" tIns="45720" rIns="91440" bIns="45720">
          <a:spAutoFit/>
        </a:bodyPr>
        <a:lstStyle/>
        <a:p>
          <a:pPr marL="0" marR="0" lvl="0" indent="0" algn="ctr" defTabSz="914400" rtl="0" eaLnBrk="1" fontAlgn="auto" latinLnBrk="0" hangingPunct="1">
            <a:lnSpc>
              <a:spcPct val="100000"/>
            </a:lnSpc>
            <a:spcBef>
              <a:spcPts val="0"/>
            </a:spcBef>
            <a:spcAft>
              <a:spcPts val="0"/>
            </a:spcAft>
            <a:buClrTx/>
            <a:buSzTx/>
            <a:buFontTx/>
            <a:buNone/>
            <a:tabLst/>
            <a:defRPr/>
          </a:pPr>
          <a:r>
            <a:rPr lang="zh-CN" altLang="en-US" sz="3600" b="0" cap="none" spc="0">
              <a:ln w="0"/>
              <a:solidFill>
                <a:srgbClr val="0070C0"/>
              </a:solidFill>
              <a:effectLst>
                <a:reflection blurRad="6350" stA="53000" endA="300" endPos="35500" dir="5400000" sy="-90000" algn="bl" rotWithShape="0"/>
              </a:effectLst>
              <a:latin typeface="华文琥珀" panose="02010800040101010101" pitchFamily="2" charset="-122"/>
              <a:ea typeface="华文琥珀" panose="02010800040101010101" pitchFamily="2" charset="-122"/>
            </a:rPr>
            <a:t>非贴息“员工车”</a:t>
          </a:r>
          <a:endParaRPr lang="zh-CN" altLang="zh-CN" sz="3600">
            <a:solidFill>
              <a:srgbClr val="002060"/>
            </a:solidFill>
            <a:effectLst/>
            <a:latin typeface="华文琥珀" panose="02010800040101010101" pitchFamily="2" charset="-122"/>
            <a:ea typeface="华文琥珀" panose="02010800040101010101" pitchFamily="2" charset="-122"/>
          </a:endParaRPr>
        </a:p>
      </xdr:txBody>
    </xdr:sp>
    <xdr:clientData/>
  </xdr:oneCellAnchor>
</xdr:wsDr>
</file>

<file path=xl/drawings/drawing9.xml><?xml version="1.0" encoding="utf-8"?>
<xdr:wsDr xmlns:xdr="http://schemas.openxmlformats.org/drawingml/2006/spreadsheetDrawing" xmlns:a="http://schemas.openxmlformats.org/drawingml/2006/main">
  <xdr:twoCellAnchor>
    <xdr:from>
      <xdr:col>4</xdr:col>
      <xdr:colOff>666749</xdr:colOff>
      <xdr:row>3</xdr:row>
      <xdr:rowOff>293686</xdr:rowOff>
    </xdr:from>
    <xdr:to>
      <xdr:col>12</xdr:col>
      <xdr:colOff>261938</xdr:colOff>
      <xdr:row>11</xdr:row>
      <xdr:rowOff>47624</xdr:rowOff>
    </xdr:to>
    <xdr:sp macro="" textlink="">
      <xdr:nvSpPr>
        <xdr:cNvPr id="2" name="圆角矩形 1">
          <a:extLst>
            <a:ext uri="{FF2B5EF4-FFF2-40B4-BE49-F238E27FC236}">
              <a16:creationId xmlns:a16="http://schemas.microsoft.com/office/drawing/2014/main" id="{00000000-0008-0000-1000-000002000000}"/>
            </a:ext>
          </a:extLst>
        </xdr:cNvPr>
        <xdr:cNvSpPr/>
      </xdr:nvSpPr>
      <xdr:spPr>
        <a:xfrm>
          <a:off x="8337549" y="909636"/>
          <a:ext cx="7062789" cy="2725738"/>
        </a:xfrm>
        <a:prstGeom prst="roundRect">
          <a:avLst/>
        </a:prstGeom>
        <a:solidFill>
          <a:schemeClr val="tx2">
            <a:lumMod val="40000"/>
            <a:lumOff val="60000"/>
          </a:schemeClr>
        </a:solidFill>
      </xdr:spPr>
      <xdr:style>
        <a:lnRef idx="3">
          <a:schemeClr val="lt1"/>
        </a:lnRef>
        <a:fillRef idx="1">
          <a:schemeClr val="accent1"/>
        </a:fillRef>
        <a:effectRef idx="1">
          <a:schemeClr val="accent1"/>
        </a:effectRef>
        <a:fontRef idx="minor">
          <a:schemeClr val="lt1"/>
        </a:fontRef>
      </xdr:style>
      <xdr:txBody>
        <a:bodyPr vertOverflow="clip" horzOverflow="clip" rtlCol="0" anchor="t"/>
        <a:lstStyle/>
        <a:p>
          <a:pPr algn="l"/>
          <a:r>
            <a:rPr lang="zh-CN" altLang="en-US" sz="1100">
              <a:latin typeface="微软雅黑" panose="020B0503020204020204" pitchFamily="34" charset="-122"/>
              <a:ea typeface="微软雅黑" panose="020B0503020204020204" pitchFamily="34" charset="-122"/>
            </a:rPr>
            <a:t>注：</a:t>
          </a:r>
          <a:endParaRPr lang="en-US" altLang="zh-CN" sz="1100">
            <a:latin typeface="微软雅黑" panose="020B0503020204020204" pitchFamily="34" charset="-122"/>
            <a:ea typeface="微软雅黑" panose="020B0503020204020204" pitchFamily="34" charset="-122"/>
          </a:endParaRPr>
        </a:p>
        <a:p>
          <a:pPr algn="l"/>
          <a:r>
            <a:rPr lang="zh-CN" altLang="en-US" sz="1100">
              <a:latin typeface="微软雅黑" panose="020B0503020204020204" pitchFamily="34" charset="-122"/>
              <a:ea typeface="微软雅黑" panose="020B0503020204020204" pitchFamily="34" charset="-122"/>
            </a:rPr>
            <a:t>仅“新能源</a:t>
          </a:r>
          <a:r>
            <a:rPr lang="en-US" altLang="zh-CN" sz="1100">
              <a:latin typeface="微软雅黑" panose="020B0503020204020204" pitchFamily="34" charset="-122"/>
              <a:ea typeface="微软雅黑" panose="020B0503020204020204" pitchFamily="34" charset="-122"/>
            </a:rPr>
            <a:t>-</a:t>
          </a:r>
          <a:r>
            <a:rPr lang="zh-CN" altLang="en-US" sz="1100">
              <a:latin typeface="微软雅黑" panose="020B0503020204020204" pitchFamily="34" charset="-122"/>
              <a:ea typeface="微软雅黑" panose="020B0503020204020204" pitchFamily="34" charset="-122"/>
            </a:rPr>
            <a:t>个人新车</a:t>
          </a:r>
          <a:r>
            <a:rPr lang="en-US" altLang="zh-CN" sz="1100">
              <a:latin typeface="微软雅黑" panose="020B0503020204020204" pitchFamily="34" charset="-122"/>
              <a:ea typeface="微软雅黑" panose="020B0503020204020204" pitchFamily="34" charset="-122"/>
            </a:rPr>
            <a:t>-</a:t>
          </a:r>
          <a:r>
            <a:rPr lang="zh-CN" altLang="en-US" sz="1100">
              <a:latin typeface="微软雅黑" panose="020B0503020204020204" pitchFamily="34" charset="-122"/>
              <a:ea typeface="微软雅黑" panose="020B0503020204020204" pitchFamily="34" charset="-122"/>
            </a:rPr>
            <a:t>自用”附加贷申请首付低于</a:t>
          </a:r>
          <a:r>
            <a:rPr lang="en-US" altLang="zh-CN" sz="1100">
              <a:latin typeface="微软雅黑" panose="020B0503020204020204" pitchFamily="34" charset="-122"/>
              <a:ea typeface="微软雅黑" panose="020B0503020204020204" pitchFamily="34" charset="-122"/>
            </a:rPr>
            <a:t>20%</a:t>
          </a:r>
          <a:r>
            <a:rPr lang="zh-CN" altLang="en-US" sz="1100">
              <a:latin typeface="微软雅黑" panose="020B0503020204020204" pitchFamily="34" charset="-122"/>
              <a:ea typeface="微软雅黑" panose="020B0503020204020204" pitchFamily="34" charset="-122"/>
            </a:rPr>
            <a:t>时，拆分计算最高贷款金额。</a:t>
          </a:r>
          <a:endParaRPr lang="en-US" altLang="zh-CN" sz="1100">
            <a:latin typeface="微软雅黑" panose="020B0503020204020204" pitchFamily="34" charset="-122"/>
            <a:ea typeface="微软雅黑" panose="020B0503020204020204" pitchFamily="34" charset="-122"/>
          </a:endParaRPr>
        </a:p>
        <a:p>
          <a:pPr algn="l"/>
          <a:endParaRPr lang="en-US" altLang="zh-CN" sz="1100">
            <a:latin typeface="微软雅黑" panose="020B0503020204020204" pitchFamily="34" charset="-122"/>
            <a:ea typeface="微软雅黑" panose="020B0503020204020204" pitchFamily="34" charset="-122"/>
          </a:endParaRPr>
        </a:p>
        <a:p>
          <a:pPr algn="l"/>
          <a:r>
            <a:rPr lang="zh-CN" altLang="en-US" sz="1600" b="1" u="sng">
              <a:latin typeface="微软雅黑" panose="020B0503020204020204" pitchFamily="34" charset="-122"/>
              <a:ea typeface="微软雅黑" panose="020B0503020204020204" pitchFamily="34" charset="-122"/>
            </a:rPr>
            <a:t>最高贷款金额取：车辆开票价的</a:t>
          </a:r>
          <a:r>
            <a:rPr lang="en-US" altLang="zh-CN" sz="1600" b="1" u="sng">
              <a:latin typeface="微软雅黑" panose="020B0503020204020204" pitchFamily="34" charset="-122"/>
              <a:ea typeface="微软雅黑" panose="020B0503020204020204" pitchFamily="34" charset="-122"/>
            </a:rPr>
            <a:t>85%+</a:t>
          </a:r>
          <a:r>
            <a:rPr lang="zh-CN" altLang="en-US" sz="1600" b="1" u="sng">
              <a:latin typeface="微软雅黑" panose="020B0503020204020204" pitchFamily="34" charset="-122"/>
              <a:ea typeface="微软雅黑" panose="020B0503020204020204" pitchFamily="34" charset="-122"/>
            </a:rPr>
            <a:t>加融附加品总额的</a:t>
          </a:r>
          <a:r>
            <a:rPr lang="en-US" altLang="zh-CN" sz="1600" b="1" u="sng">
              <a:latin typeface="微软雅黑" panose="020B0503020204020204" pitchFamily="34" charset="-122"/>
              <a:ea typeface="微软雅黑" panose="020B0503020204020204" pitchFamily="34" charset="-122"/>
            </a:rPr>
            <a:t>80%</a:t>
          </a:r>
        </a:p>
        <a:p>
          <a:pPr algn="l"/>
          <a:endParaRPr lang="en-US" altLang="zh-CN" sz="1100">
            <a:latin typeface="微软雅黑" panose="020B0503020204020204" pitchFamily="34" charset="-122"/>
            <a:ea typeface="微软雅黑" panose="020B0503020204020204" pitchFamily="34" charset="-122"/>
          </a:endParaRPr>
        </a:p>
        <a:p>
          <a:pPr algn="l"/>
          <a:r>
            <a:rPr lang="zh-CN" altLang="en-US" sz="1100">
              <a:latin typeface="微软雅黑" panose="020B0503020204020204" pitchFamily="34" charset="-122"/>
              <a:ea typeface="微软雅黑" panose="020B0503020204020204" pitchFamily="34" charset="-122"/>
            </a:rPr>
            <a:t>（其他情形无变化，维持</a:t>
          </a:r>
          <a:r>
            <a:rPr lang="zh-CN" altLang="en-US" sz="1100" b="1">
              <a:latin typeface="微软雅黑" panose="020B0503020204020204" pitchFamily="34" charset="-122"/>
              <a:ea typeface="微软雅黑" panose="020B0503020204020204" pitchFamily="34" charset="-122"/>
            </a:rPr>
            <a:t>等比</a:t>
          </a:r>
          <a:r>
            <a:rPr lang="zh-CN" altLang="en-US" sz="1100">
              <a:latin typeface="微软雅黑" panose="020B0503020204020204" pitchFamily="34" charset="-122"/>
              <a:ea typeface="微软雅黑" panose="020B0503020204020204" pitchFamily="34" charset="-122"/>
            </a:rPr>
            <a:t>计算车辆贷款金额和加融附加品金额，如：</a:t>
          </a:r>
          <a:endParaRPr lang="en-US" altLang="zh-CN" sz="1100">
            <a:latin typeface="微软雅黑" panose="020B0503020204020204" pitchFamily="34" charset="-122"/>
            <a:ea typeface="微软雅黑" panose="020B0503020204020204" pitchFamily="34" charset="-122"/>
          </a:endParaRPr>
        </a:p>
        <a:p>
          <a:pPr algn="l"/>
          <a:r>
            <a:rPr lang="zh-CN" altLang="en-US" sz="1050">
              <a:solidFill>
                <a:schemeClr val="lt1"/>
              </a:solidFill>
              <a:effectLst/>
              <a:latin typeface="微软雅黑" panose="020B0503020204020204" pitchFamily="34" charset="-122"/>
              <a:ea typeface="微软雅黑" panose="020B0503020204020204" pitchFamily="34" charset="-122"/>
              <a:cs typeface="+mn-cs"/>
            </a:rPr>
            <a:t>传统动力个人新车自用</a:t>
          </a:r>
          <a:r>
            <a:rPr lang="zh-CN" altLang="zh-CN" sz="1050">
              <a:solidFill>
                <a:schemeClr val="lt1"/>
              </a:solidFill>
              <a:effectLst/>
              <a:latin typeface="微软雅黑" panose="020B0503020204020204" pitchFamily="34" charset="-122"/>
              <a:ea typeface="微软雅黑" panose="020B0503020204020204" pitchFamily="34" charset="-122"/>
              <a:cs typeface="+mn-cs"/>
            </a:rPr>
            <a:t>，最高贷款金额：总价的</a:t>
          </a:r>
          <a:r>
            <a:rPr lang="en-US" altLang="zh-CN" sz="1050">
              <a:solidFill>
                <a:schemeClr val="lt1"/>
              </a:solidFill>
              <a:effectLst/>
              <a:latin typeface="微软雅黑" panose="020B0503020204020204" pitchFamily="34" charset="-122"/>
              <a:ea typeface="微软雅黑" panose="020B0503020204020204" pitchFamily="34" charset="-122"/>
              <a:cs typeface="+mn-cs"/>
            </a:rPr>
            <a:t>80%</a:t>
          </a:r>
          <a:r>
            <a:rPr lang="zh-CN" altLang="zh-CN" sz="1050">
              <a:solidFill>
                <a:schemeClr val="lt1"/>
              </a:solidFill>
              <a:effectLst/>
              <a:latin typeface="微软雅黑" panose="020B0503020204020204" pitchFamily="34" charset="-122"/>
              <a:ea typeface="微软雅黑" panose="020B0503020204020204" pitchFamily="34" charset="-122"/>
              <a:cs typeface="+mn-cs"/>
            </a:rPr>
            <a:t>，</a:t>
          </a:r>
          <a:r>
            <a:rPr lang="zh-CN" altLang="en-US" sz="1050">
              <a:solidFill>
                <a:schemeClr val="lt1"/>
              </a:solidFill>
              <a:effectLst/>
              <a:latin typeface="微软雅黑" panose="020B0503020204020204" pitchFamily="34" charset="-122"/>
              <a:ea typeface="微软雅黑" panose="020B0503020204020204" pitchFamily="34" charset="-122"/>
              <a:cs typeface="+mn-cs"/>
            </a:rPr>
            <a:t>即车辆开票价</a:t>
          </a:r>
          <a:r>
            <a:rPr lang="zh-CN" altLang="zh-CN" sz="1050">
              <a:solidFill>
                <a:schemeClr val="lt1"/>
              </a:solidFill>
              <a:effectLst/>
              <a:latin typeface="微软雅黑" panose="020B0503020204020204" pitchFamily="34" charset="-122"/>
              <a:ea typeface="微软雅黑" panose="020B0503020204020204" pitchFamily="34" charset="-122"/>
              <a:cs typeface="+mn-cs"/>
            </a:rPr>
            <a:t>的</a:t>
          </a:r>
          <a:r>
            <a:rPr lang="en-US" altLang="zh-CN" sz="1050">
              <a:solidFill>
                <a:schemeClr val="lt1"/>
              </a:solidFill>
              <a:effectLst/>
              <a:latin typeface="微软雅黑" panose="020B0503020204020204" pitchFamily="34" charset="-122"/>
              <a:ea typeface="微软雅黑" panose="020B0503020204020204" pitchFamily="34" charset="-122"/>
              <a:cs typeface="+mn-cs"/>
            </a:rPr>
            <a:t>80%+</a:t>
          </a:r>
          <a:r>
            <a:rPr lang="zh-CN" altLang="zh-CN" sz="1050">
              <a:solidFill>
                <a:schemeClr val="lt1"/>
              </a:solidFill>
              <a:effectLst/>
              <a:latin typeface="微软雅黑" panose="020B0503020204020204" pitchFamily="34" charset="-122"/>
              <a:ea typeface="微软雅黑" panose="020B0503020204020204" pitchFamily="34" charset="-122"/>
              <a:cs typeface="+mn-cs"/>
            </a:rPr>
            <a:t>加融附加品总额的</a:t>
          </a:r>
          <a:r>
            <a:rPr lang="en-US" altLang="zh-CN" sz="1050">
              <a:solidFill>
                <a:schemeClr val="lt1"/>
              </a:solidFill>
              <a:effectLst/>
              <a:latin typeface="微软雅黑" panose="020B0503020204020204" pitchFamily="34" charset="-122"/>
              <a:ea typeface="微软雅黑" panose="020B0503020204020204" pitchFamily="34" charset="-122"/>
              <a:cs typeface="+mn-cs"/>
            </a:rPr>
            <a:t>80%</a:t>
          </a:r>
          <a:r>
            <a:rPr lang="zh-CN" altLang="en-US" sz="1050">
              <a:solidFill>
                <a:schemeClr val="lt1"/>
              </a:solidFill>
              <a:effectLst/>
              <a:latin typeface="微软雅黑" panose="020B0503020204020204" pitchFamily="34" charset="-122"/>
              <a:ea typeface="微软雅黑" panose="020B0503020204020204" pitchFamily="34" charset="-122"/>
              <a:cs typeface="+mn-cs"/>
            </a:rPr>
            <a:t>；</a:t>
          </a:r>
          <a:endParaRPr lang="en-US" altLang="zh-CN" sz="1050">
            <a:solidFill>
              <a:schemeClr val="lt1"/>
            </a:solidFill>
            <a:effectLst/>
            <a:latin typeface="微软雅黑" panose="020B0503020204020204" pitchFamily="34" charset="-122"/>
            <a:ea typeface="微软雅黑" panose="020B0503020204020204" pitchFamily="34" charset="-122"/>
            <a:cs typeface="+mn-cs"/>
          </a:endParaRPr>
        </a:p>
        <a:p>
          <a:pPr algn="l"/>
          <a:r>
            <a:rPr lang="zh-CN" altLang="en-US" sz="1100">
              <a:latin typeface="微软雅黑" panose="020B0503020204020204" pitchFamily="34" charset="-122"/>
              <a:ea typeface="微软雅黑" panose="020B0503020204020204" pitchFamily="34" charset="-122"/>
            </a:rPr>
            <a:t>新能源公牌新车附加贷，最高贷款金额：总价的</a:t>
          </a:r>
          <a:r>
            <a:rPr lang="en-US" altLang="zh-CN" sz="1100">
              <a:latin typeface="微软雅黑" panose="020B0503020204020204" pitchFamily="34" charset="-122"/>
              <a:ea typeface="微软雅黑" panose="020B0503020204020204" pitchFamily="34" charset="-122"/>
            </a:rPr>
            <a:t>75%</a:t>
          </a:r>
          <a:r>
            <a:rPr lang="zh-CN" altLang="en-US" sz="1100">
              <a:latin typeface="微软雅黑" panose="020B0503020204020204" pitchFamily="34" charset="-122"/>
              <a:ea typeface="微软雅黑" panose="020B0503020204020204" pitchFamily="34" charset="-122"/>
            </a:rPr>
            <a:t>，即</a:t>
          </a:r>
          <a:r>
            <a:rPr lang="zh-CN" altLang="zh-CN" sz="1100">
              <a:solidFill>
                <a:schemeClr val="lt1"/>
              </a:solidFill>
              <a:effectLst/>
              <a:latin typeface="微软雅黑" panose="020B0503020204020204" pitchFamily="34" charset="-122"/>
              <a:ea typeface="微软雅黑" panose="020B0503020204020204" pitchFamily="34" charset="-122"/>
              <a:cs typeface="+mn-cs"/>
            </a:rPr>
            <a:t>车辆开票价</a:t>
          </a:r>
          <a:r>
            <a:rPr lang="zh-CN" altLang="en-US" sz="1100">
              <a:latin typeface="微软雅黑" panose="020B0503020204020204" pitchFamily="34" charset="-122"/>
              <a:ea typeface="微软雅黑" panose="020B0503020204020204" pitchFamily="34" charset="-122"/>
            </a:rPr>
            <a:t>的</a:t>
          </a:r>
          <a:r>
            <a:rPr lang="en-US" altLang="zh-CN" sz="1100">
              <a:latin typeface="微软雅黑" panose="020B0503020204020204" pitchFamily="34" charset="-122"/>
              <a:ea typeface="微软雅黑" panose="020B0503020204020204" pitchFamily="34" charset="-122"/>
            </a:rPr>
            <a:t>75%+</a:t>
          </a:r>
          <a:r>
            <a:rPr lang="zh-CN" altLang="en-US" sz="1100">
              <a:latin typeface="微软雅黑" panose="020B0503020204020204" pitchFamily="34" charset="-122"/>
              <a:ea typeface="微软雅黑" panose="020B0503020204020204" pitchFamily="34" charset="-122"/>
            </a:rPr>
            <a:t>加融附加品总额的</a:t>
          </a:r>
          <a:r>
            <a:rPr lang="en-US" altLang="zh-CN" sz="1100">
              <a:latin typeface="微软雅黑" panose="020B0503020204020204" pitchFamily="34" charset="-122"/>
              <a:ea typeface="微软雅黑" panose="020B0503020204020204" pitchFamily="34" charset="-122"/>
            </a:rPr>
            <a:t>75%</a:t>
          </a:r>
          <a:r>
            <a:rPr lang="zh-CN" altLang="en-US" sz="1100">
              <a:latin typeface="微软雅黑" panose="020B0503020204020204" pitchFamily="34" charset="-122"/>
              <a:ea typeface="微软雅黑" panose="020B0503020204020204" pitchFamily="34" charset="-122"/>
            </a:rPr>
            <a:t>；</a:t>
          </a:r>
          <a:endParaRPr lang="en-US" altLang="zh-CN" sz="1100">
            <a:latin typeface="微软雅黑" panose="020B0503020204020204" pitchFamily="34" charset="-122"/>
            <a:ea typeface="微软雅黑" panose="020B0503020204020204" pitchFamily="34" charset="-122"/>
          </a:endParaRPr>
        </a:p>
        <a:p>
          <a:pPr algn="l"/>
          <a:r>
            <a:rPr lang="zh-CN" altLang="en-US" sz="1100">
              <a:latin typeface="微软雅黑" panose="020B0503020204020204" pitchFamily="34" charset="-122"/>
              <a:ea typeface="微软雅黑" panose="020B0503020204020204" pitchFamily="34" charset="-122"/>
            </a:rPr>
            <a:t>二手车，最高贷款金额：</a:t>
          </a:r>
          <a:r>
            <a:rPr lang="zh-CN" altLang="zh-CN" sz="1100">
              <a:solidFill>
                <a:schemeClr val="lt1"/>
              </a:solidFill>
              <a:effectLst/>
              <a:latin typeface="微软雅黑" panose="020B0503020204020204" pitchFamily="34" charset="-122"/>
              <a:ea typeface="微软雅黑" panose="020B0503020204020204" pitchFamily="34" charset="-122"/>
              <a:cs typeface="+mn-cs"/>
            </a:rPr>
            <a:t>总价的</a:t>
          </a:r>
          <a:r>
            <a:rPr lang="en-US" altLang="zh-CN" sz="1100">
              <a:solidFill>
                <a:schemeClr val="lt1"/>
              </a:solidFill>
              <a:effectLst/>
              <a:latin typeface="微软雅黑" panose="020B0503020204020204" pitchFamily="34" charset="-122"/>
              <a:ea typeface="微软雅黑" panose="020B0503020204020204" pitchFamily="34" charset="-122"/>
              <a:cs typeface="+mn-cs"/>
            </a:rPr>
            <a:t>70%</a:t>
          </a:r>
          <a:r>
            <a:rPr lang="zh-CN" altLang="zh-CN" sz="1100">
              <a:solidFill>
                <a:schemeClr val="lt1"/>
              </a:solidFill>
              <a:effectLst/>
              <a:latin typeface="微软雅黑" panose="020B0503020204020204" pitchFamily="34" charset="-122"/>
              <a:ea typeface="微软雅黑" panose="020B0503020204020204" pitchFamily="34" charset="-122"/>
              <a:cs typeface="+mn-cs"/>
            </a:rPr>
            <a:t>，</a:t>
          </a:r>
          <a:r>
            <a:rPr lang="zh-CN" altLang="en-US" sz="1100">
              <a:solidFill>
                <a:schemeClr val="lt1"/>
              </a:solidFill>
              <a:effectLst/>
              <a:latin typeface="微软雅黑" panose="020B0503020204020204" pitchFamily="34" charset="-122"/>
              <a:ea typeface="微软雅黑" panose="020B0503020204020204" pitchFamily="34" charset="-122"/>
              <a:cs typeface="+mn-cs"/>
            </a:rPr>
            <a:t>即</a:t>
          </a:r>
          <a:r>
            <a:rPr lang="zh-CN" altLang="zh-CN" sz="1100">
              <a:solidFill>
                <a:schemeClr val="lt1"/>
              </a:solidFill>
              <a:effectLst/>
              <a:latin typeface="微软雅黑" panose="020B0503020204020204" pitchFamily="34" charset="-122"/>
              <a:ea typeface="微软雅黑" panose="020B0503020204020204" pitchFamily="34" charset="-122"/>
              <a:cs typeface="+mn-cs"/>
            </a:rPr>
            <a:t>车辆开票价</a:t>
          </a:r>
          <a:r>
            <a:rPr lang="zh-CN" altLang="en-US" sz="1100">
              <a:solidFill>
                <a:schemeClr val="lt1"/>
              </a:solidFill>
              <a:effectLst/>
              <a:latin typeface="微软雅黑" panose="020B0503020204020204" pitchFamily="34" charset="-122"/>
              <a:ea typeface="微软雅黑" panose="020B0503020204020204" pitchFamily="34" charset="-122"/>
              <a:cs typeface="+mn-cs"/>
            </a:rPr>
            <a:t>（实际成交价）</a:t>
          </a:r>
          <a:r>
            <a:rPr lang="zh-CN" altLang="zh-CN" sz="1100">
              <a:solidFill>
                <a:schemeClr val="lt1"/>
              </a:solidFill>
              <a:effectLst/>
              <a:latin typeface="微软雅黑" panose="020B0503020204020204" pitchFamily="34" charset="-122"/>
              <a:ea typeface="微软雅黑" panose="020B0503020204020204" pitchFamily="34" charset="-122"/>
              <a:cs typeface="+mn-cs"/>
            </a:rPr>
            <a:t>的</a:t>
          </a:r>
          <a:r>
            <a:rPr lang="en-US" altLang="zh-CN" sz="1100">
              <a:solidFill>
                <a:schemeClr val="lt1"/>
              </a:solidFill>
              <a:effectLst/>
              <a:latin typeface="微软雅黑" panose="020B0503020204020204" pitchFamily="34" charset="-122"/>
              <a:ea typeface="微软雅黑" panose="020B0503020204020204" pitchFamily="34" charset="-122"/>
              <a:cs typeface="+mn-cs"/>
            </a:rPr>
            <a:t>70%+</a:t>
          </a:r>
          <a:r>
            <a:rPr lang="zh-CN" altLang="zh-CN" sz="1100">
              <a:solidFill>
                <a:schemeClr val="lt1"/>
              </a:solidFill>
              <a:effectLst/>
              <a:latin typeface="微软雅黑" panose="020B0503020204020204" pitchFamily="34" charset="-122"/>
              <a:ea typeface="微软雅黑" panose="020B0503020204020204" pitchFamily="34" charset="-122"/>
              <a:cs typeface="+mn-cs"/>
            </a:rPr>
            <a:t>加融附加品总额的</a:t>
          </a:r>
          <a:r>
            <a:rPr lang="en-US" altLang="zh-CN" sz="1100">
              <a:solidFill>
                <a:schemeClr val="lt1"/>
              </a:solidFill>
              <a:effectLst/>
              <a:latin typeface="微软雅黑" panose="020B0503020204020204" pitchFamily="34" charset="-122"/>
              <a:ea typeface="微软雅黑" panose="020B0503020204020204" pitchFamily="34" charset="-122"/>
              <a:cs typeface="+mn-cs"/>
            </a:rPr>
            <a:t>70%</a:t>
          </a:r>
          <a:r>
            <a:rPr lang="zh-CN" altLang="zh-CN" sz="1100">
              <a:solidFill>
                <a:schemeClr val="lt1"/>
              </a:solidFill>
              <a:effectLst/>
              <a:latin typeface="微软雅黑" panose="020B0503020204020204" pitchFamily="34" charset="-122"/>
              <a:ea typeface="微软雅黑" panose="020B0503020204020204" pitchFamily="34" charset="-122"/>
              <a:cs typeface="+mn-cs"/>
            </a:rPr>
            <a:t>；</a:t>
          </a:r>
          <a:r>
            <a:rPr lang="zh-CN" altLang="en-US" sz="1100">
              <a:latin typeface="微软雅黑" panose="020B0503020204020204" pitchFamily="34" charset="-122"/>
              <a:ea typeface="微软雅黑" panose="020B0503020204020204" pitchFamily="34" charset="-122"/>
            </a:rPr>
            <a:t>）</a:t>
          </a:r>
        </a:p>
      </xdr:txBody>
    </xdr:sp>
    <xdr:clientData/>
  </xdr:twoCellAnchor>
</xdr:wsDr>
</file>

<file path=xl/drawings/drawing10.xml><?xml version="1.0" encoding="utf-8"?>
<xdr:wsDr xmlns:xdr="http://schemas.openxmlformats.org/drawingml/2006/spreadsheetDrawing" xmlns:a="http://schemas.openxmlformats.org/drawingml/2006/main">
  <xdr:twoCellAnchor editAs="oneCell">
    <xdr:from>
      <xdr:col>7</xdr:col>
      <xdr:colOff>700314</xdr:colOff>
      <xdr:row>30</xdr:row>
      <xdr:rowOff>43543</xdr:rowOff>
    </xdr:from>
    <xdr:to>
      <xdr:col>10</xdr:col>
      <xdr:colOff>1386464</xdr:colOff>
      <xdr:row>37</xdr:row>
      <xdr:rowOff>100849</xdr:rowOff>
    </xdr:to>
    <xdr:pic>
      <xdr:nvPicPr>
        <xdr:cNvPr id="2" name="图片 1">
          <a:extLst>
            <a:ext uri="{FF2B5EF4-FFF2-40B4-BE49-F238E27FC236}">
              <a16:creationId xmlns:a16="http://schemas.microsoft.com/office/drawing/2014/main" id="{497080C6-B5B9-09B1-9E50-89CBC09ABAB0}"/>
            </a:ext>
          </a:extLst>
        </xdr:cNvPr>
        <xdr:cNvPicPr>
          <a:picLocks noChangeAspect="1"/>
        </xdr:cNvPicPr>
      </xdr:nvPicPr>
      <xdr:blipFill>
        <a:blip xmlns:r="http://schemas.openxmlformats.org/officeDocument/2006/relationships" r:embed="rId1"/>
        <a:stretch>
          <a:fillRect/>
        </a:stretch>
      </xdr:blipFill>
      <xdr:spPr>
        <a:xfrm>
          <a:off x="12193814" y="13233400"/>
          <a:ext cx="6809364" cy="3050878"/>
        </a:xfrm>
        <a:prstGeom prst="rect">
          <a:avLst/>
        </a:prstGeom>
      </xdr:spPr>
    </xdr:pic>
    <xdr:clientData/>
  </xdr:twoCellAnchor>
</xdr:wsDr>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17.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16.bin"/></Relationships>
</file>

<file path=xl/worksheets/_rels/sheet18.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17.bin"/></Relationships>
</file>

<file path=xl/worksheets/_rels/sheet19.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18.bin"/></Relationships>
</file>

<file path=xl/worksheets/_rels/sheet20.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19.bin"/></Relationships>
</file>

<file path=xl/worksheets/_rels/sheet21.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20.bin"/></Relationships>
</file>

<file path=xl/worksheets/_rels/sheet22.xml.rels><?xml version="1.0" encoding="UTF-8" standalone="yes"?>
<Relationships xmlns="http://schemas.openxmlformats.org/package/2006/relationships"><Relationship Id="rId1" Type="http://schemas.openxmlformats.org/officeDocument/2006/relationships/printerSettings" Target="../printerSettings/printerSettings21.bin"/></Relationships>
</file>

<file path=xl/worksheets/_rels/sheet23.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rinterSettings" Target="../printerSettings/printerSettings22.bin"/></Relationships>
</file>

<file path=xl/worksheets/_rels/sheet24.xml.rels><?xml version="1.0" encoding="UTF-8" standalone="yes"?>
<Relationships xmlns="http://schemas.openxmlformats.org/package/2006/relationships"><Relationship Id="rId2" Type="http://schemas.openxmlformats.org/officeDocument/2006/relationships/drawing" Target="../drawings/drawing10.xml"/><Relationship Id="rId1" Type="http://schemas.openxmlformats.org/officeDocument/2006/relationships/printerSettings" Target="../printerSettings/printerSettings2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FFFF00"/>
  </sheetPr>
  <dimension ref="A1:X54"/>
  <sheetViews>
    <sheetView zoomScale="50" zoomScaleNormal="50" workbookViewId="0">
      <pane ySplit="14" topLeftCell="A18" activePane="bottomLeft" state="frozen"/>
      <selection pane="bottomLeft"/>
    </sheetView>
  </sheetViews>
  <sheetFormatPr defaultColWidth="10.08203125" defaultRowHeight="14"/>
  <cols>
    <col min="1" max="2" width="3.75" style="1" customWidth="1"/>
    <col min="3" max="3" width="25.75" style="1" customWidth="1"/>
    <col min="4" max="4" width="28.9140625" style="1" customWidth="1"/>
    <col min="5" max="5" width="44.33203125" style="1" customWidth="1"/>
    <col min="6" max="6" width="11.33203125" style="19" customWidth="1"/>
    <col min="7" max="7" width="9.25" style="18" customWidth="1"/>
    <col min="8" max="8" width="34.6640625" style="19" customWidth="1"/>
    <col min="9" max="9" width="45.33203125" style="1" customWidth="1"/>
    <col min="10" max="10" width="27.5" style="1" customWidth="1"/>
    <col min="11" max="11" width="20.25" style="1" customWidth="1"/>
    <col min="12" max="12" width="27.75" style="1" customWidth="1"/>
    <col min="13" max="13" width="15.75" style="1" customWidth="1"/>
    <col min="14" max="14" width="33.1640625" style="1" customWidth="1"/>
    <col min="15" max="15" width="35" style="1" customWidth="1"/>
    <col min="16" max="16" width="38.08203125" style="1" customWidth="1"/>
    <col min="17" max="17" width="17.33203125" style="1" customWidth="1"/>
    <col min="18" max="19" width="11.75" style="1" customWidth="1"/>
    <col min="20" max="20" width="15.75" style="1" customWidth="1"/>
    <col min="21" max="21" width="11.75" style="1" customWidth="1"/>
    <col min="22" max="16384" width="10.08203125" style="1"/>
  </cols>
  <sheetData>
    <row r="1" spans="1:24" ht="10" customHeight="1"/>
    <row r="2" spans="1:24" ht="6.65" customHeight="1"/>
    <row r="9" spans="1:24" ht="14.15" customHeight="1">
      <c r="B9" s="738" t="s">
        <v>320</v>
      </c>
      <c r="C9" s="739"/>
      <c r="D9" s="739"/>
      <c r="E9" s="739"/>
      <c r="F9" s="739"/>
      <c r="G9" s="739"/>
      <c r="H9" s="739"/>
      <c r="I9" s="739"/>
      <c r="J9" s="739"/>
      <c r="K9" s="739"/>
      <c r="L9" s="739"/>
      <c r="M9" s="739"/>
      <c r="N9" s="739"/>
      <c r="O9" s="739"/>
      <c r="P9" s="739"/>
      <c r="Q9" s="739"/>
      <c r="R9" s="739"/>
      <c r="S9" s="739"/>
      <c r="T9" s="739"/>
      <c r="U9" s="739"/>
      <c r="V9" s="739"/>
      <c r="W9" s="739"/>
      <c r="X9" s="739"/>
    </row>
    <row r="10" spans="1:24">
      <c r="B10" s="739"/>
      <c r="C10" s="739"/>
      <c r="D10" s="739"/>
      <c r="E10" s="739"/>
      <c r="F10" s="739"/>
      <c r="G10" s="739"/>
      <c r="H10" s="739"/>
      <c r="I10" s="739"/>
      <c r="J10" s="739"/>
      <c r="K10" s="739"/>
      <c r="L10" s="739"/>
      <c r="M10" s="739"/>
      <c r="N10" s="739"/>
      <c r="O10" s="739"/>
      <c r="P10" s="739"/>
      <c r="Q10" s="739"/>
      <c r="R10" s="739"/>
      <c r="S10" s="739"/>
      <c r="T10" s="739"/>
      <c r="U10" s="739"/>
      <c r="V10" s="739"/>
      <c r="W10" s="739"/>
      <c r="X10" s="739"/>
    </row>
    <row r="11" spans="1:24" ht="13.5" customHeight="1">
      <c r="B11" s="739"/>
      <c r="C11" s="739"/>
      <c r="D11" s="739"/>
      <c r="E11" s="739"/>
      <c r="F11" s="739"/>
      <c r="G11" s="739"/>
      <c r="H11" s="739"/>
      <c r="I11" s="739"/>
      <c r="J11" s="739"/>
      <c r="K11" s="739"/>
      <c r="L11" s="739"/>
      <c r="M11" s="739"/>
      <c r="N11" s="739"/>
      <c r="O11" s="739"/>
      <c r="P11" s="739"/>
      <c r="Q11" s="739"/>
      <c r="R11" s="739"/>
      <c r="S11" s="739"/>
      <c r="T11" s="739"/>
      <c r="U11" s="739"/>
      <c r="V11" s="739"/>
      <c r="W11" s="739"/>
      <c r="X11" s="739"/>
    </row>
    <row r="12" spans="1:24" ht="13.5" customHeight="1">
      <c r="B12" s="86"/>
      <c r="C12" s="86"/>
      <c r="D12" s="86"/>
      <c r="E12" s="86"/>
      <c r="F12" s="20"/>
      <c r="G12" s="86"/>
      <c r="H12" s="20"/>
      <c r="I12" s="86"/>
      <c r="J12" s="86"/>
      <c r="K12" s="86"/>
      <c r="L12" s="86"/>
      <c r="M12" s="86"/>
      <c r="N12" s="86"/>
      <c r="O12" s="86"/>
      <c r="P12" s="86"/>
      <c r="Q12" s="86"/>
      <c r="R12" s="86"/>
      <c r="S12" s="86"/>
      <c r="T12" s="86"/>
      <c r="U12" s="86"/>
      <c r="V12" s="86"/>
      <c r="W12" s="86"/>
      <c r="X12" s="86"/>
    </row>
    <row r="13" spans="1:24" ht="21.65" customHeight="1">
      <c r="B13" s="86"/>
      <c r="C13" s="749" t="s">
        <v>34</v>
      </c>
      <c r="D13" s="749"/>
      <c r="E13" s="749"/>
      <c r="F13" s="749"/>
      <c r="G13" s="749"/>
      <c r="H13" s="749"/>
      <c r="I13" s="749"/>
      <c r="J13" s="749"/>
      <c r="K13" s="86"/>
      <c r="L13" s="742" t="s">
        <v>131</v>
      </c>
      <c r="M13" s="742"/>
      <c r="N13" s="742"/>
      <c r="O13" s="742"/>
      <c r="P13" s="742"/>
      <c r="Q13" s="86"/>
      <c r="R13" s="86"/>
      <c r="S13" s="86"/>
      <c r="T13" s="86"/>
      <c r="U13" s="86"/>
      <c r="V13" s="86"/>
      <c r="W13" s="86"/>
    </row>
    <row r="14" spans="1:24" s="3" customFormat="1" ht="57.65" customHeight="1">
      <c r="B14" s="2"/>
      <c r="C14" s="429" t="s">
        <v>87</v>
      </c>
      <c r="D14" s="740" t="s">
        <v>0</v>
      </c>
      <c r="E14" s="741"/>
      <c r="F14" s="741" t="s">
        <v>30</v>
      </c>
      <c r="G14" s="741"/>
      <c r="H14" s="429" t="s">
        <v>86</v>
      </c>
      <c r="I14" s="546" t="s">
        <v>32</v>
      </c>
      <c r="J14" s="547" t="s">
        <v>438</v>
      </c>
      <c r="K14" s="2"/>
      <c r="L14" s="267" t="s">
        <v>237</v>
      </c>
      <c r="M14" s="267" t="s">
        <v>238</v>
      </c>
      <c r="N14" s="268" t="s">
        <v>235</v>
      </c>
      <c r="O14" s="269" t="s">
        <v>236</v>
      </c>
      <c r="P14" s="270" t="s">
        <v>317</v>
      </c>
      <c r="Q14" s="2"/>
      <c r="R14" s="2"/>
      <c r="S14" s="2"/>
      <c r="T14" s="2"/>
      <c r="U14" s="2"/>
      <c r="V14" s="2"/>
      <c r="W14" s="2"/>
      <c r="X14" s="2"/>
    </row>
    <row r="15" spans="1:24" ht="36" customHeight="1">
      <c r="A15" s="3"/>
      <c r="B15" s="2"/>
      <c r="C15" s="703" t="s">
        <v>615</v>
      </c>
      <c r="D15" s="709" t="s">
        <v>462</v>
      </c>
      <c r="E15" s="706" t="s">
        <v>35</v>
      </c>
      <c r="F15" s="757" t="s">
        <v>31</v>
      </c>
      <c r="G15" s="758">
        <v>2.1999999999999999E-2</v>
      </c>
      <c r="H15" s="721" t="s">
        <v>444</v>
      </c>
      <c r="I15" s="615" t="s">
        <v>537</v>
      </c>
      <c r="J15" s="755" t="s">
        <v>464</v>
      </c>
      <c r="K15" s="2"/>
      <c r="L15" s="751" t="s">
        <v>615</v>
      </c>
      <c r="M15" s="699" t="s">
        <v>239</v>
      </c>
      <c r="N15" s="444" t="s">
        <v>213</v>
      </c>
      <c r="O15" s="445" t="s">
        <v>211</v>
      </c>
      <c r="P15" s="744" t="s">
        <v>604</v>
      </c>
    </row>
    <row r="16" spans="1:24" ht="36" customHeight="1">
      <c r="A16" s="3"/>
      <c r="B16" s="2"/>
      <c r="C16" s="704"/>
      <c r="D16" s="754"/>
      <c r="E16" s="707"/>
      <c r="F16" s="726"/>
      <c r="G16" s="759"/>
      <c r="H16" s="722"/>
      <c r="I16" s="649" t="s">
        <v>538</v>
      </c>
      <c r="J16" s="756"/>
      <c r="K16" s="2"/>
      <c r="L16" s="752"/>
      <c r="M16" s="743"/>
      <c r="N16" s="444" t="s">
        <v>214</v>
      </c>
      <c r="O16" s="445" t="s">
        <v>212</v>
      </c>
      <c r="P16" s="745"/>
    </row>
    <row r="17" spans="1:17" ht="36" customHeight="1">
      <c r="A17" s="3"/>
      <c r="C17" s="704"/>
      <c r="D17" s="709" t="s">
        <v>501</v>
      </c>
      <c r="E17" s="712" t="s">
        <v>489</v>
      </c>
      <c r="F17" s="724" t="s">
        <v>31</v>
      </c>
      <c r="G17" s="727">
        <v>2.1899999999999999E-2</v>
      </c>
      <c r="H17" s="722"/>
      <c r="I17" s="654" t="s">
        <v>368</v>
      </c>
      <c r="J17" s="756"/>
      <c r="L17" s="752"/>
      <c r="M17" s="743"/>
      <c r="N17" s="444" t="s">
        <v>442</v>
      </c>
      <c r="O17" s="445" t="s">
        <v>211</v>
      </c>
      <c r="P17" s="746">
        <v>9.7000000000000003E-2</v>
      </c>
      <c r="Q17" s="441"/>
    </row>
    <row r="18" spans="1:17" ht="36" customHeight="1">
      <c r="A18" s="3"/>
      <c r="C18" s="704"/>
      <c r="D18" s="710"/>
      <c r="E18" s="713"/>
      <c r="F18" s="725"/>
      <c r="G18" s="728"/>
      <c r="H18" s="722"/>
      <c r="I18" s="616" t="s">
        <v>304</v>
      </c>
      <c r="J18" s="756"/>
      <c r="L18" s="752"/>
      <c r="M18" s="743"/>
      <c r="N18" s="444" t="s">
        <v>443</v>
      </c>
      <c r="O18" s="445" t="s">
        <v>212</v>
      </c>
      <c r="P18" s="747"/>
      <c r="Q18" s="441"/>
    </row>
    <row r="19" spans="1:17" ht="36" customHeight="1">
      <c r="A19" s="3"/>
      <c r="C19" s="704"/>
      <c r="D19" s="711"/>
      <c r="E19" s="714"/>
      <c r="F19" s="726"/>
      <c r="G19" s="729"/>
      <c r="H19" s="723"/>
      <c r="I19" s="633" t="s">
        <v>373</v>
      </c>
      <c r="J19" s="756"/>
      <c r="L19" s="752"/>
      <c r="M19" s="743"/>
      <c r="N19" s="444" t="s">
        <v>365</v>
      </c>
      <c r="O19" s="446" t="s">
        <v>211</v>
      </c>
      <c r="P19" s="748">
        <v>0.11600000000000001</v>
      </c>
      <c r="Q19" s="441"/>
    </row>
    <row r="20" spans="1:17" ht="47.5" customHeight="1">
      <c r="A20" s="3"/>
      <c r="C20" s="704"/>
      <c r="D20" s="560" t="s">
        <v>349</v>
      </c>
      <c r="E20" s="554" t="s">
        <v>607</v>
      </c>
      <c r="F20" s="399" t="s">
        <v>31</v>
      </c>
      <c r="G20" s="639">
        <v>2.3199999999999998E-2</v>
      </c>
      <c r="H20" s="721" t="s">
        <v>446</v>
      </c>
      <c r="I20" s="615" t="s">
        <v>537</v>
      </c>
      <c r="J20" s="732" t="s">
        <v>482</v>
      </c>
      <c r="L20" s="753"/>
      <c r="M20" s="700"/>
      <c r="N20" s="444" t="s">
        <v>366</v>
      </c>
      <c r="O20" s="446" t="s">
        <v>212</v>
      </c>
      <c r="P20" s="705"/>
      <c r="Q20" s="441"/>
    </row>
    <row r="21" spans="1:17" ht="44" customHeight="1">
      <c r="C21" s="704"/>
      <c r="D21" s="605" t="s">
        <v>494</v>
      </c>
      <c r="E21" s="515" t="s">
        <v>35</v>
      </c>
      <c r="F21" s="412" t="s">
        <v>31</v>
      </c>
      <c r="G21" s="553">
        <v>2.1299999999999999E-2</v>
      </c>
      <c r="H21" s="750"/>
      <c r="I21" s="616" t="s">
        <v>538</v>
      </c>
      <c r="J21" s="720"/>
      <c r="N21" s="582" t="s">
        <v>480</v>
      </c>
    </row>
    <row r="22" spans="1:17" ht="39" customHeight="1">
      <c r="C22" s="704"/>
      <c r="D22" s="699" t="s">
        <v>1</v>
      </c>
      <c r="E22" s="701" t="s">
        <v>523</v>
      </c>
      <c r="F22" s="716" t="s">
        <v>31</v>
      </c>
      <c r="G22" s="718">
        <v>8.0000000000000002E-3</v>
      </c>
      <c r="H22" s="735" t="s">
        <v>445</v>
      </c>
      <c r="I22" s="661" t="s">
        <v>304</v>
      </c>
      <c r="J22" s="720"/>
      <c r="N22" s="582"/>
    </row>
    <row r="23" spans="1:17" ht="39" customHeight="1">
      <c r="C23" s="704"/>
      <c r="D23" s="700"/>
      <c r="E23" s="702"/>
      <c r="F23" s="717"/>
      <c r="G23" s="719"/>
      <c r="H23" s="737"/>
      <c r="I23" s="555" t="s">
        <v>373</v>
      </c>
      <c r="J23" s="733"/>
    </row>
    <row r="24" spans="1:17" ht="38" customHeight="1">
      <c r="C24" s="704"/>
      <c r="D24" s="708" t="s">
        <v>568</v>
      </c>
      <c r="E24" s="715" t="s">
        <v>616</v>
      </c>
      <c r="F24" s="716" t="s">
        <v>31</v>
      </c>
      <c r="G24" s="718">
        <v>1.61E-2</v>
      </c>
      <c r="H24" s="735" t="s">
        <v>612</v>
      </c>
      <c r="I24" s="615" t="s">
        <v>587</v>
      </c>
      <c r="J24" s="720" t="s">
        <v>482</v>
      </c>
    </row>
    <row r="25" spans="1:17" ht="38" customHeight="1">
      <c r="C25" s="704"/>
      <c r="D25" s="708"/>
      <c r="E25" s="715"/>
      <c r="F25" s="730"/>
      <c r="G25" s="731"/>
      <c r="H25" s="736"/>
      <c r="I25" s="661" t="s">
        <v>586</v>
      </c>
      <c r="J25" s="720"/>
    </row>
    <row r="26" spans="1:17" ht="38" customHeight="1">
      <c r="C26" s="704"/>
      <c r="D26" s="708"/>
      <c r="E26" s="715"/>
      <c r="F26" s="717"/>
      <c r="G26" s="719"/>
      <c r="H26" s="736"/>
      <c r="I26" s="661" t="s">
        <v>585</v>
      </c>
      <c r="J26" s="720"/>
    </row>
    <row r="27" spans="1:17" ht="28.5" customHeight="1">
      <c r="C27" s="704"/>
      <c r="D27" s="552" t="s">
        <v>418</v>
      </c>
      <c r="E27" s="548" t="s">
        <v>522</v>
      </c>
      <c r="F27" s="655" t="s">
        <v>31</v>
      </c>
      <c r="G27" s="656">
        <v>1.6E-2</v>
      </c>
      <c r="H27" s="735" t="s">
        <v>475</v>
      </c>
      <c r="I27" s="691" t="s">
        <v>537</v>
      </c>
      <c r="J27" s="732" t="s">
        <v>477</v>
      </c>
    </row>
    <row r="28" spans="1:17" ht="28.5" customHeight="1">
      <c r="C28" s="704"/>
      <c r="D28" s="552" t="s">
        <v>420</v>
      </c>
      <c r="E28" s="496" t="s">
        <v>524</v>
      </c>
      <c r="F28" s="412" t="s">
        <v>31</v>
      </c>
      <c r="G28" s="638">
        <v>1.5299999999999999E-2</v>
      </c>
      <c r="H28" s="736"/>
      <c r="I28" s="734" t="s">
        <v>538</v>
      </c>
      <c r="J28" s="720"/>
    </row>
    <row r="29" spans="1:17" ht="28.5" customHeight="1">
      <c r="C29" s="704"/>
      <c r="D29" s="552" t="s">
        <v>422</v>
      </c>
      <c r="E29" s="496" t="s">
        <v>525</v>
      </c>
      <c r="F29" s="399" t="s">
        <v>31</v>
      </c>
      <c r="G29" s="641">
        <v>1.6400000000000001E-2</v>
      </c>
      <c r="H29" s="736"/>
      <c r="I29" s="734"/>
      <c r="J29" s="720"/>
    </row>
    <row r="30" spans="1:17" ht="28.5" customHeight="1">
      <c r="C30" s="704"/>
      <c r="D30" s="552" t="s">
        <v>260</v>
      </c>
      <c r="E30" s="556" t="s">
        <v>35</v>
      </c>
      <c r="F30" s="399" t="s">
        <v>31</v>
      </c>
      <c r="G30" s="641">
        <v>1.54E-2</v>
      </c>
      <c r="H30" s="737"/>
      <c r="I30" s="616" t="s">
        <v>476</v>
      </c>
      <c r="J30" s="720"/>
    </row>
    <row r="31" spans="1:17" ht="76">
      <c r="C31" s="704"/>
      <c r="D31" s="650" t="s">
        <v>271</v>
      </c>
      <c r="E31" s="584" t="s">
        <v>367</v>
      </c>
      <c r="F31" s="498" t="s">
        <v>31</v>
      </c>
      <c r="G31" s="640">
        <v>1.8200000000000001E-2</v>
      </c>
      <c r="H31" s="651" t="s">
        <v>552</v>
      </c>
      <c r="I31" s="653" t="s">
        <v>304</v>
      </c>
      <c r="J31" s="720"/>
    </row>
    <row r="32" spans="1:17" ht="76">
      <c r="C32" s="705"/>
      <c r="D32" s="650" t="s">
        <v>33</v>
      </c>
      <c r="E32" s="607" t="s">
        <v>35</v>
      </c>
      <c r="F32" s="596" t="s">
        <v>31</v>
      </c>
      <c r="G32" s="639">
        <v>7.0000000000000001E-3</v>
      </c>
      <c r="H32" s="651" t="s">
        <v>502</v>
      </c>
      <c r="I32" s="652" t="s">
        <v>373</v>
      </c>
      <c r="J32" s="733"/>
    </row>
    <row r="34" spans="3:8" ht="22.5">
      <c r="C34" s="694" t="s">
        <v>241</v>
      </c>
      <c r="D34" s="697" t="s">
        <v>240</v>
      </c>
      <c r="E34" s="698"/>
      <c r="G34" s="1"/>
    </row>
    <row r="35" spans="3:8" ht="22.5">
      <c r="C35" s="695"/>
      <c r="D35" s="697" t="s">
        <v>242</v>
      </c>
      <c r="E35" s="698"/>
      <c r="G35" s="1"/>
    </row>
    <row r="36" spans="3:8" ht="22.5">
      <c r="C36" s="696"/>
      <c r="D36" s="697" t="s">
        <v>251</v>
      </c>
      <c r="E36" s="698"/>
      <c r="G36" s="1"/>
    </row>
    <row r="39" spans="3:8">
      <c r="H39" s="1"/>
    </row>
    <row r="41" spans="3:8" ht="14.15" customHeight="1"/>
    <row r="42" spans="3:8">
      <c r="F42" s="1"/>
      <c r="G42" s="1"/>
      <c r="H42" s="1"/>
    </row>
    <row r="43" spans="3:8">
      <c r="F43" s="1"/>
      <c r="G43" s="1"/>
      <c r="H43" s="1"/>
    </row>
    <row r="44" spans="3:8">
      <c r="F44" s="1"/>
      <c r="G44" s="1"/>
      <c r="H44" s="1"/>
    </row>
    <row r="45" spans="3:8">
      <c r="F45" s="1"/>
      <c r="G45" s="1"/>
      <c r="H45" s="1"/>
    </row>
    <row r="46" spans="3:8">
      <c r="F46" s="1"/>
      <c r="G46" s="1"/>
      <c r="H46" s="1"/>
    </row>
    <row r="53" spans="6:7">
      <c r="F53" s="1"/>
      <c r="G53" s="1"/>
    </row>
    <row r="54" spans="6:7">
      <c r="F54" s="1"/>
      <c r="G54" s="1"/>
    </row>
  </sheetData>
  <sheetProtection algorithmName="SHA-512" hashValue="RLLuXx6JEOzb3U9ONFbDnwHtVszzyxueI70GGlZFsq8K3C3KxNBW6adT616yi/tCbPlgWvT65pLnQb2MjPy7Qg==" saltValue="fYkFEoV93cTsD/+xMtSYOg==" spinCount="100000" sheet="1" objects="1" scenarios="1"/>
  <mergeCells count="41">
    <mergeCell ref="B9:X11"/>
    <mergeCell ref="D14:E14"/>
    <mergeCell ref="F14:G14"/>
    <mergeCell ref="L13:P13"/>
    <mergeCell ref="M15:M20"/>
    <mergeCell ref="P15:P16"/>
    <mergeCell ref="P17:P18"/>
    <mergeCell ref="P19:P20"/>
    <mergeCell ref="C13:J13"/>
    <mergeCell ref="H20:H21"/>
    <mergeCell ref="L15:L20"/>
    <mergeCell ref="D15:D16"/>
    <mergeCell ref="J15:J19"/>
    <mergeCell ref="F15:F16"/>
    <mergeCell ref="G15:G16"/>
    <mergeCell ref="J27:J32"/>
    <mergeCell ref="I28:I29"/>
    <mergeCell ref="H27:H30"/>
    <mergeCell ref="H22:H23"/>
    <mergeCell ref="H24:H26"/>
    <mergeCell ref="F22:F23"/>
    <mergeCell ref="G22:G23"/>
    <mergeCell ref="J24:J26"/>
    <mergeCell ref="H15:H19"/>
    <mergeCell ref="F17:F19"/>
    <mergeCell ref="G17:G19"/>
    <mergeCell ref="F24:F26"/>
    <mergeCell ref="G24:G26"/>
    <mergeCell ref="J20:J23"/>
    <mergeCell ref="C34:C36"/>
    <mergeCell ref="D34:E34"/>
    <mergeCell ref="D35:E35"/>
    <mergeCell ref="D36:E36"/>
    <mergeCell ref="D22:D23"/>
    <mergeCell ref="E22:E23"/>
    <mergeCell ref="C15:C32"/>
    <mergeCell ref="E15:E16"/>
    <mergeCell ref="D24:D26"/>
    <mergeCell ref="D17:D19"/>
    <mergeCell ref="E17:E19"/>
    <mergeCell ref="E24:E26"/>
  </mergeCells>
  <phoneticPr fontId="1" type="noConversion"/>
  <hyperlinks>
    <hyperlink ref="D34" location="'厂贴车型明细&amp;贷款金额说明'!A1" display="厂贴车型明细&amp;贷款金额说明" xr:uid="{00000000-0004-0000-0000-000000000000}"/>
    <hyperlink ref="D35" location="'产品准入政策&amp;基础参数'!A1" display="产品基础参数&amp;准入政策" xr:uid="{00000000-0004-0000-0000-000001000000}"/>
    <hyperlink ref="D36" location="'产品准入政策&amp;基础参数'!A1" display="产品基础参数&amp;准入政策" xr:uid="{00000000-0004-0000-0000-000002000000}"/>
    <hyperlink ref="N20" location="双优贷2.0_非厂贴!A1" display="双优贷2.0-经销商贴息" xr:uid="{00000000-0004-0000-0000-000003000000}"/>
    <hyperlink ref="N19" location="双优贷2.0_非厂贴!A1" display="双优贷2.0-非厂商贴息" xr:uid="{00000000-0004-0000-0000-000004000000}"/>
    <hyperlink ref="N16" location="新通用_经销商贴息!A1" display="新通用-经销商贴息" xr:uid="{00000000-0004-0000-0000-000005000000}"/>
    <hyperlink ref="N15" location="新通用_非贴息!A1" display="新通用-非厂商贴息" xr:uid="{00000000-0004-0000-0000-000006000000}"/>
    <hyperlink ref="N18" location="双优贷1.0_非厂贴!A1" display="双优贷-经销商贴息" xr:uid="{00000000-0004-0000-0000-000007000000}"/>
    <hyperlink ref="N17" location="双优贷1.0_非厂贴!A1" display="双优贷-非厂商贴息" xr:uid="{00000000-0004-0000-0000-000008000000}"/>
    <hyperlink ref="D36:E36" location="'新能源首付低于20%时 最高贷款金额测算'!A1" display="新能源首付低于20%时 最高贷款金额测算" xr:uid="{00000000-0004-0000-0000-000010000000}"/>
    <hyperlink ref="I31" location="厂贴_双优贷2.0!A1" display="厂贴_双优贷2.0" xr:uid="{DC3A6093-A36E-4B31-80D2-8D5DBD79F8D9}"/>
    <hyperlink ref="I18" location="厂贴_双优贷2.0!A1" display="厂贴_双优贷2.0" xr:uid="{98C1B333-1BF2-4717-A806-8F7FB8759C59}"/>
    <hyperlink ref="I15" location="'厂贴_常规贴息（个人）'!A1" display="厂贴_常规贴息（个人）" xr:uid="{2C8C812D-8951-4577-9358-6DE57E71BD6B}"/>
    <hyperlink ref="I17" location="'厂贴_1+4阶梯贷'!A1" display="厂贴_1+4阶梯贷" xr:uid="{3A991AF9-CD81-4371-B33B-2D01D18C4A65}"/>
    <hyperlink ref="I19" location="厂贴_双优贷1.0!A1" display="厂贴_双优贷1.0" xr:uid="{1B8E33D0-564F-4606-830D-2C90504DBAB7}"/>
    <hyperlink ref="I30" location="'厂贴_5050 6666'!A1" display="厂贴_5050 6666" xr:uid="{5824F474-9768-4EE9-8EA1-5F6EF5FEDEEF}"/>
    <hyperlink ref="I16" location="'厂贴_常规贴息（公户）'!A1" display="厂贴_常规贴息（公户）" xr:uid="{F271E1AE-DC9F-48B9-B27F-738BC296D9DE}"/>
    <hyperlink ref="I20" location="'厂贴_常规贴息（个人）'!A1" display="厂贴_常规贴息（个人）" xr:uid="{8EA50D01-02EF-48CA-A31C-847369288364}"/>
    <hyperlink ref="I21" location="'厂贴_常规贴息（公户）'!A1" display="厂贴_常规贴息（公户）" xr:uid="{310D2F7C-F3F1-40E3-AFD8-D6CED1227709}"/>
    <hyperlink ref="I27" location="'厂贴_常规贴息（个人）'!A1" display="厂贴_常规贴息（个人）" xr:uid="{3585A145-2CC8-4F1C-A7CC-8BB15AB5D806}"/>
    <hyperlink ref="I28" location="'厂贴_常规贴息（公户）'!A1" display="厂贴_常规贴息（公户）" xr:uid="{7ED906DA-62B1-4532-B814-BFA2B21D3B52}"/>
    <hyperlink ref="I32" location="厂贴_双优贷1.0!A1" display="厂贴_双优贷1.0" xr:uid="{0A15BFB0-8D8D-468D-A001-23CEF36DEF00}"/>
    <hyperlink ref="I22" location="'厂贴_常规贴息（公户）'!A1" display="厂贴_常规贴息（公户）" xr:uid="{33260AC8-7BD8-4308-AFF3-F25825C916B1}"/>
    <hyperlink ref="I23" location="厂贴_双优贷1.0!A1" display="厂贴_双优贷1.0" xr:uid="{446CA9D9-0B96-4F34-9F66-60734629D932}"/>
    <hyperlink ref="I25" location="'厂贴_常规贴息（公户）世家'!A1" display="厂贴_常规贴息（公户）世家" xr:uid="{74B2E769-0465-49CC-A779-75803347FFFB}"/>
    <hyperlink ref="I26" location="'厂贴_双优贷 世家'!A1" display="厂贴_双优贷 世家" xr:uid="{D0860A7A-AA8A-421E-A629-D9317AC1E14A}"/>
    <hyperlink ref="I24" location="'厂贴_常规贴息（个人）世家'!A1" display="厂贴_常规贴息（个人）世家" xr:uid="{0BF7BDF5-ADB4-4804-AF96-74BFA4FAE386}"/>
  </hyperlinks>
  <pageMargins left="0.7" right="0.7" top="0.75" bottom="0.75" header="0.3" footer="0.3"/>
  <pageSetup orientation="portrait" horizontalDpi="300" verticalDpi="0" copies="0"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00FFCC"/>
  </sheetPr>
  <dimension ref="A2:BP78"/>
  <sheetViews>
    <sheetView tabSelected="1" zoomScale="55" zoomScaleNormal="55" workbookViewId="0">
      <pane xSplit="3" ySplit="7" topLeftCell="D22" activePane="bottomRight" state="frozen"/>
      <selection pane="topRight" activeCell="D1" sqref="D1"/>
      <selection pane="bottomLeft" activeCell="A8" sqref="A8"/>
      <selection pane="bottomRight" activeCell="G33" sqref="G33"/>
    </sheetView>
  </sheetViews>
  <sheetFormatPr defaultColWidth="8.75" defaultRowHeight="16.5"/>
  <cols>
    <col min="1" max="1" width="2.75" style="6" customWidth="1"/>
    <col min="2" max="2" width="23.75" style="9" customWidth="1"/>
    <col min="3" max="3" width="45.83203125" style="6" customWidth="1"/>
    <col min="4" max="4" width="12.75" style="10" customWidth="1"/>
    <col min="5" max="5" width="12.33203125" style="11" customWidth="1"/>
    <col min="6" max="6" width="13.33203125" style="11" customWidth="1"/>
    <col min="7" max="7" width="13.33203125" style="12" customWidth="1"/>
    <col min="8" max="8" width="13.33203125" style="13" customWidth="1"/>
    <col min="9" max="9" width="13.33203125" style="11" customWidth="1"/>
    <col min="10" max="11" width="13.33203125" style="6" customWidth="1"/>
    <col min="12" max="12" width="17" style="6" bestFit="1" customWidth="1"/>
    <col min="13" max="13" width="17" style="6" customWidth="1"/>
    <col min="14" max="14" width="19" style="6" customWidth="1"/>
    <col min="15" max="15" width="20.6640625" style="6" customWidth="1"/>
    <col min="16" max="16" width="14.58203125" style="6" customWidth="1"/>
    <col min="17" max="17" width="15.6640625" style="6" customWidth="1"/>
    <col min="18" max="20" width="11.58203125" style="6" customWidth="1"/>
    <col min="21" max="21" width="13.4140625" style="419" customWidth="1"/>
    <col min="22" max="23" width="13.4140625" style="6" customWidth="1"/>
    <col min="24" max="16384" width="8.75" style="6"/>
  </cols>
  <sheetData>
    <row r="2" spans="1:68" ht="47" customHeight="1">
      <c r="B2" s="354" t="s">
        <v>44</v>
      </c>
      <c r="C2" s="9"/>
      <c r="D2" s="763" t="s">
        <v>470</v>
      </c>
      <c r="E2" s="763"/>
      <c r="F2" s="763"/>
      <c r="G2" s="763"/>
      <c r="H2" s="763"/>
      <c r="I2" s="763"/>
      <c r="J2" s="763"/>
      <c r="K2" s="763"/>
      <c r="L2" s="763"/>
      <c r="M2" s="763"/>
      <c r="N2" s="763"/>
      <c r="O2" s="763"/>
      <c r="P2" s="763"/>
    </row>
    <row r="3" spans="1:68" ht="35.5" customHeight="1">
      <c r="C3" s="9"/>
      <c r="D3" s="763"/>
      <c r="E3" s="763"/>
      <c r="F3" s="763"/>
      <c r="G3" s="763"/>
      <c r="H3" s="763"/>
      <c r="I3" s="763"/>
      <c r="J3" s="763"/>
      <c r="K3" s="763"/>
      <c r="L3" s="763"/>
      <c r="M3" s="763"/>
      <c r="N3" s="763"/>
      <c r="O3" s="763"/>
      <c r="P3" s="763"/>
    </row>
    <row r="4" spans="1:68" ht="50" customHeight="1">
      <c r="C4" s="9"/>
      <c r="D4" s="9"/>
      <c r="E4" s="9"/>
      <c r="F4" s="5"/>
      <c r="G4" s="5"/>
      <c r="H4" s="5"/>
      <c r="I4" s="5"/>
      <c r="T4" s="419"/>
      <c r="U4" s="6"/>
    </row>
    <row r="5" spans="1:68">
      <c r="C5" s="9"/>
      <c r="D5" s="9"/>
      <c r="E5" s="9"/>
      <c r="F5" s="5"/>
      <c r="G5" s="5"/>
      <c r="H5" s="5"/>
      <c r="I5" s="5"/>
      <c r="U5" s="6"/>
    </row>
    <row r="6" spans="1:68" ht="40">
      <c r="C6" s="9"/>
      <c r="D6" s="9"/>
      <c r="E6" s="9"/>
      <c r="F6" s="775" t="s">
        <v>403</v>
      </c>
      <c r="G6" s="776"/>
      <c r="H6" s="776"/>
      <c r="I6" s="776"/>
      <c r="J6" s="776"/>
      <c r="K6" s="777"/>
      <c r="L6" s="492" t="s">
        <v>404</v>
      </c>
      <c r="M6" s="492" t="s">
        <v>405</v>
      </c>
      <c r="N6" s="507" t="s">
        <v>406</v>
      </c>
      <c r="O6" s="509" t="s">
        <v>427</v>
      </c>
      <c r="P6" s="509" t="s">
        <v>473</v>
      </c>
      <c r="U6" s="6"/>
    </row>
    <row r="7" spans="1:68" ht="50.5" customHeight="1">
      <c r="B7" s="15" t="s">
        <v>14</v>
      </c>
      <c r="C7" s="15" t="s">
        <v>402</v>
      </c>
      <c r="D7" s="15" t="s">
        <v>4</v>
      </c>
      <c r="E7" s="16" t="s">
        <v>310</v>
      </c>
      <c r="F7" s="17" t="s">
        <v>5</v>
      </c>
      <c r="G7" s="17" t="s">
        <v>6</v>
      </c>
      <c r="H7" s="17" t="s">
        <v>7</v>
      </c>
      <c r="I7" s="17" t="s">
        <v>8</v>
      </c>
      <c r="J7" s="17" t="s">
        <v>9</v>
      </c>
      <c r="K7" s="17" t="s">
        <v>10</v>
      </c>
      <c r="L7" s="450" t="s">
        <v>436</v>
      </c>
      <c r="M7" s="450" t="s">
        <v>10</v>
      </c>
      <c r="N7" s="508" t="s">
        <v>10</v>
      </c>
      <c r="O7" s="17" t="s">
        <v>5</v>
      </c>
      <c r="P7" s="17" t="s">
        <v>474</v>
      </c>
      <c r="W7" s="606"/>
      <c r="X7" s="606"/>
    </row>
    <row r="8" spans="1:68" s="594" customFormat="1" ht="19">
      <c r="B8" s="779" t="s">
        <v>495</v>
      </c>
      <c r="C8" s="7" t="s">
        <v>485</v>
      </c>
      <c r="D8" s="99">
        <v>309900</v>
      </c>
      <c r="E8" s="4">
        <f>D8*VLOOKUP($B$8,试算路径及方案简述!D:G,4,0)</f>
        <v>6786.8099999999995</v>
      </c>
      <c r="F8" s="22" t="s">
        <v>18</v>
      </c>
      <c r="G8" s="100">
        <v>168600</v>
      </c>
      <c r="H8" s="100">
        <v>160000</v>
      </c>
      <c r="I8" s="100">
        <v>160000</v>
      </c>
      <c r="J8" s="100">
        <v>160000</v>
      </c>
      <c r="K8" s="100">
        <v>160000</v>
      </c>
      <c r="L8" s="766">
        <v>80000</v>
      </c>
      <c r="M8" s="579">
        <v>50000</v>
      </c>
      <c r="N8" s="579">
        <v>50000</v>
      </c>
      <c r="O8" s="510" t="s">
        <v>18</v>
      </c>
      <c r="P8" s="510" t="s">
        <v>18</v>
      </c>
      <c r="Q8" s="6"/>
      <c r="R8" s="6"/>
      <c r="S8" s="6"/>
      <c r="T8" s="6"/>
      <c r="U8" s="6"/>
      <c r="V8" s="6"/>
      <c r="W8" s="6"/>
      <c r="X8" s="6"/>
      <c r="Y8" s="6"/>
      <c r="Z8" s="6"/>
      <c r="AA8" s="6"/>
      <c r="AB8" s="6"/>
      <c r="AC8" s="6"/>
      <c r="AD8" s="6"/>
      <c r="AE8" s="6"/>
      <c r="AF8" s="6"/>
      <c r="AG8" s="6"/>
      <c r="AH8" s="6"/>
      <c r="AI8" s="6"/>
      <c r="AJ8" s="6"/>
      <c r="AK8" s="6"/>
      <c r="AL8" s="6"/>
      <c r="AM8" s="6"/>
      <c r="AN8" s="6"/>
      <c r="AO8" s="6"/>
      <c r="AP8" s="6"/>
      <c r="AQ8" s="6"/>
      <c r="AR8" s="6"/>
      <c r="AS8" s="6"/>
      <c r="AT8" s="6"/>
      <c r="AU8" s="6"/>
      <c r="AV8" s="6"/>
      <c r="AW8" s="6"/>
      <c r="AX8" s="6"/>
      <c r="AY8" s="6"/>
      <c r="AZ8" s="6"/>
      <c r="BA8" s="6"/>
      <c r="BB8" s="6"/>
      <c r="BC8" s="6"/>
      <c r="BD8" s="6"/>
      <c r="BE8" s="6"/>
      <c r="BF8" s="6"/>
      <c r="BG8" s="6"/>
      <c r="BH8" s="6"/>
      <c r="BI8" s="6"/>
      <c r="BJ8" s="6"/>
      <c r="BK8" s="6"/>
      <c r="BL8" s="6"/>
      <c r="BM8" s="6"/>
      <c r="BN8" s="6"/>
      <c r="BO8" s="6"/>
      <c r="BP8" s="6"/>
    </row>
    <row r="9" spans="1:68" s="594" customFormat="1" ht="19">
      <c r="B9" s="780"/>
      <c r="C9" s="7" t="s">
        <v>486</v>
      </c>
      <c r="D9" s="99">
        <v>339900</v>
      </c>
      <c r="E9" s="4">
        <f>D9*VLOOKUP($B$8,试算路径及方案简述!D:G,4,0)</f>
        <v>7443.8099999999995</v>
      </c>
      <c r="F9" s="22" t="s">
        <v>18</v>
      </c>
      <c r="G9" s="100">
        <v>185000</v>
      </c>
      <c r="H9" s="100">
        <v>160000</v>
      </c>
      <c r="I9" s="100">
        <v>160000</v>
      </c>
      <c r="J9" s="100">
        <v>160000</v>
      </c>
      <c r="K9" s="100">
        <v>160000</v>
      </c>
      <c r="L9" s="767"/>
      <c r="M9" s="579">
        <v>50000</v>
      </c>
      <c r="N9" s="579">
        <v>50000</v>
      </c>
      <c r="O9" s="510" t="s">
        <v>18</v>
      </c>
      <c r="P9" s="510" t="s">
        <v>18</v>
      </c>
      <c r="Q9" s="9"/>
      <c r="R9" s="9"/>
      <c r="S9" s="9"/>
      <c r="T9" s="9"/>
      <c r="U9" s="9"/>
      <c r="V9" s="9"/>
      <c r="W9" s="9"/>
      <c r="X9" s="9"/>
      <c r="Y9" s="9"/>
      <c r="Z9" s="9"/>
      <c r="AA9" s="9"/>
      <c r="AB9" s="9"/>
      <c r="AC9" s="9"/>
      <c r="AD9" s="9"/>
      <c r="AE9" s="9"/>
      <c r="AF9" s="9"/>
      <c r="AG9" s="9"/>
      <c r="AH9" s="9"/>
      <c r="AI9" s="9"/>
      <c r="AJ9" s="9"/>
      <c r="AK9" s="9"/>
      <c r="AL9" s="9"/>
      <c r="AM9" s="9"/>
      <c r="AN9" s="9"/>
      <c r="AO9" s="9"/>
      <c r="AP9" s="9"/>
      <c r="AQ9" s="9"/>
      <c r="AR9" s="9"/>
      <c r="AS9" s="9"/>
      <c r="AT9" s="9"/>
      <c r="AU9" s="9"/>
      <c r="AV9" s="9"/>
      <c r="AW9" s="9"/>
      <c r="AX9" s="9"/>
      <c r="AY9" s="9"/>
      <c r="AZ9" s="9"/>
      <c r="BA9" s="9"/>
      <c r="BB9" s="9"/>
      <c r="BC9" s="9"/>
      <c r="BD9" s="9"/>
      <c r="BE9" s="9"/>
      <c r="BF9" s="9"/>
      <c r="BG9" s="9"/>
      <c r="BH9" s="9"/>
      <c r="BI9" s="9"/>
      <c r="BJ9" s="9"/>
      <c r="BK9" s="9"/>
      <c r="BL9" s="9"/>
      <c r="BM9" s="9"/>
      <c r="BN9" s="9"/>
      <c r="BO9" s="9"/>
      <c r="BP9" s="9"/>
    </row>
    <row r="10" spans="1:68" s="594" customFormat="1" ht="19">
      <c r="B10" s="780"/>
      <c r="C10" s="7" t="s">
        <v>487</v>
      </c>
      <c r="D10" s="99">
        <v>369900</v>
      </c>
      <c r="E10" s="4">
        <f>D10*VLOOKUP($B$8,试算路径及方案简述!D:G,4,0)</f>
        <v>8100.8099999999995</v>
      </c>
      <c r="F10" s="22" t="s">
        <v>18</v>
      </c>
      <c r="G10" s="100">
        <v>201300</v>
      </c>
      <c r="H10" s="100">
        <v>160000</v>
      </c>
      <c r="I10" s="100">
        <v>160000</v>
      </c>
      <c r="J10" s="100">
        <v>160000</v>
      </c>
      <c r="K10" s="100">
        <v>160000</v>
      </c>
      <c r="L10" s="767"/>
      <c r="M10" s="579">
        <v>50000</v>
      </c>
      <c r="N10" s="579">
        <v>50000</v>
      </c>
      <c r="O10" s="510" t="s">
        <v>18</v>
      </c>
      <c r="P10" s="510" t="s">
        <v>18</v>
      </c>
      <c r="Q10" s="9"/>
      <c r="R10" s="9"/>
      <c r="S10" s="9"/>
      <c r="T10" s="9"/>
      <c r="U10" s="9"/>
      <c r="V10" s="9"/>
      <c r="W10" s="9"/>
      <c r="X10" s="9"/>
      <c r="Y10" s="9"/>
      <c r="Z10" s="9"/>
      <c r="AA10" s="9"/>
      <c r="AB10" s="9"/>
      <c r="AC10" s="9"/>
      <c r="AD10" s="9"/>
      <c r="AE10" s="9"/>
      <c r="AF10" s="9"/>
      <c r="AG10" s="9"/>
      <c r="AH10" s="9"/>
      <c r="AI10" s="9"/>
      <c r="AJ10" s="9"/>
      <c r="AK10" s="9"/>
      <c r="AL10" s="9"/>
      <c r="AM10" s="9"/>
      <c r="AN10" s="9"/>
      <c r="AO10" s="9"/>
      <c r="AP10" s="9"/>
      <c r="AQ10" s="9"/>
      <c r="AR10" s="9"/>
      <c r="AS10" s="9"/>
      <c r="AT10" s="9"/>
      <c r="AU10" s="9"/>
      <c r="AV10" s="9"/>
      <c r="AW10" s="9"/>
      <c r="AX10" s="9"/>
      <c r="AY10" s="9"/>
      <c r="AZ10" s="9"/>
      <c r="BA10" s="9"/>
      <c r="BB10" s="9"/>
      <c r="BC10" s="9"/>
      <c r="BD10" s="9"/>
      <c r="BE10" s="9"/>
      <c r="BF10" s="9"/>
      <c r="BG10" s="9"/>
      <c r="BH10" s="9"/>
      <c r="BI10" s="9"/>
      <c r="BJ10" s="9"/>
      <c r="BK10" s="9"/>
      <c r="BL10" s="9"/>
      <c r="BM10" s="9"/>
      <c r="BN10" s="9"/>
      <c r="BO10" s="9"/>
      <c r="BP10" s="9"/>
    </row>
    <row r="11" spans="1:68" s="9" customFormat="1" ht="22" customHeight="1">
      <c r="A11" s="6"/>
      <c r="B11" s="769" t="s">
        <v>462</v>
      </c>
      <c r="C11" s="7" t="s">
        <v>459</v>
      </c>
      <c r="D11" s="99">
        <v>339900</v>
      </c>
      <c r="E11" s="4">
        <f>D11*VLOOKUP($B$11,试算路径及方案简述!D:G,4,0)</f>
        <v>7477.7999999999993</v>
      </c>
      <c r="F11" s="22" t="s">
        <v>18</v>
      </c>
      <c r="G11" s="637">
        <v>185800</v>
      </c>
      <c r="H11" s="100">
        <v>180000</v>
      </c>
      <c r="I11" s="100">
        <v>180000</v>
      </c>
      <c r="J11" s="100">
        <v>180000</v>
      </c>
      <c r="K11" s="100">
        <v>180000</v>
      </c>
      <c r="L11" s="766">
        <v>80000</v>
      </c>
      <c r="M11" s="579">
        <v>50000</v>
      </c>
      <c r="N11" s="579">
        <v>50000</v>
      </c>
      <c r="O11" s="510" t="s">
        <v>18</v>
      </c>
      <c r="P11" s="510" t="s">
        <v>18</v>
      </c>
    </row>
    <row r="12" spans="1:68" s="9" customFormat="1" ht="22" customHeight="1">
      <c r="B12" s="770"/>
      <c r="C12" s="7" t="s">
        <v>460</v>
      </c>
      <c r="D12" s="99">
        <v>369900</v>
      </c>
      <c r="E12" s="4">
        <f>D12*VLOOKUP($B$11,试算路径及方案简述!D:G,4,0)</f>
        <v>8137.7999999999993</v>
      </c>
      <c r="F12" s="22" t="s">
        <v>18</v>
      </c>
      <c r="G12" s="637">
        <v>202200</v>
      </c>
      <c r="H12" s="100">
        <v>180000</v>
      </c>
      <c r="I12" s="100">
        <v>180000</v>
      </c>
      <c r="J12" s="100">
        <v>180000</v>
      </c>
      <c r="K12" s="100">
        <v>180000</v>
      </c>
      <c r="L12" s="767"/>
      <c r="M12" s="579">
        <v>50000</v>
      </c>
      <c r="N12" s="579">
        <v>50000</v>
      </c>
      <c r="O12" s="510" t="s">
        <v>18</v>
      </c>
      <c r="P12" s="510" t="s">
        <v>18</v>
      </c>
    </row>
    <row r="13" spans="1:68" ht="22" customHeight="1">
      <c r="B13" s="771"/>
      <c r="C13" s="7" t="s">
        <v>461</v>
      </c>
      <c r="D13" s="99">
        <v>399900</v>
      </c>
      <c r="E13" s="4">
        <f>D13*VLOOKUP($B$11,试算路径及方案简述!D:G,4,0)</f>
        <v>8797.7999999999993</v>
      </c>
      <c r="F13" s="22" t="s">
        <v>18</v>
      </c>
      <c r="G13" s="637">
        <v>218600</v>
      </c>
      <c r="H13" s="100">
        <v>180000</v>
      </c>
      <c r="I13" s="100">
        <v>180000</v>
      </c>
      <c r="J13" s="100">
        <v>180000</v>
      </c>
      <c r="K13" s="100">
        <v>180000</v>
      </c>
      <c r="L13" s="768"/>
      <c r="M13" s="579">
        <v>50000</v>
      </c>
      <c r="N13" s="579">
        <v>50000</v>
      </c>
      <c r="O13" s="510" t="s">
        <v>18</v>
      </c>
      <c r="P13" s="510" t="s">
        <v>18</v>
      </c>
      <c r="U13" s="6"/>
    </row>
    <row r="14" spans="1:68" s="9" customFormat="1" ht="22" customHeight="1">
      <c r="B14" s="769" t="s">
        <v>348</v>
      </c>
      <c r="C14" s="418" t="s">
        <v>346</v>
      </c>
      <c r="D14" s="99">
        <v>229900</v>
      </c>
      <c r="E14" s="4">
        <f>D14*VLOOKUP($B$14,试算路径及方案简述!D:G,4,0)</f>
        <v>5333.6799999999994</v>
      </c>
      <c r="F14" s="22" t="s">
        <v>18</v>
      </c>
      <c r="G14" s="637">
        <v>132500</v>
      </c>
      <c r="H14" s="100">
        <v>120000</v>
      </c>
      <c r="I14" s="100">
        <v>120000</v>
      </c>
      <c r="J14" s="100">
        <v>120000</v>
      </c>
      <c r="K14" s="100">
        <v>120000</v>
      </c>
      <c r="L14" s="22" t="s">
        <v>18</v>
      </c>
      <c r="M14" s="579">
        <v>50000</v>
      </c>
      <c r="N14" s="579">
        <v>50000</v>
      </c>
      <c r="O14" s="510" t="s">
        <v>18</v>
      </c>
      <c r="P14" s="510" t="s">
        <v>18</v>
      </c>
      <c r="Q14" s="8"/>
      <c r="R14" s="8"/>
    </row>
    <row r="15" spans="1:68" ht="22" customHeight="1">
      <c r="A15" s="9"/>
      <c r="B15" s="770"/>
      <c r="C15" s="418" t="s">
        <v>466</v>
      </c>
      <c r="D15" s="99">
        <v>249900</v>
      </c>
      <c r="E15" s="4">
        <f>D15*VLOOKUP($B$14,试算路径及方案简述!D:G,4,0)</f>
        <v>5797.6799999999994</v>
      </c>
      <c r="F15" s="22" t="s">
        <v>18</v>
      </c>
      <c r="G15" s="637">
        <v>144000</v>
      </c>
      <c r="H15" s="100">
        <v>120000</v>
      </c>
      <c r="I15" s="100">
        <v>120000</v>
      </c>
      <c r="J15" s="100">
        <v>120000</v>
      </c>
      <c r="K15" s="100">
        <v>120000</v>
      </c>
      <c r="L15" s="22" t="s">
        <v>18</v>
      </c>
      <c r="M15" s="579">
        <v>50000</v>
      </c>
      <c r="N15" s="579">
        <v>50000</v>
      </c>
      <c r="O15" s="22" t="s">
        <v>18</v>
      </c>
      <c r="P15" s="510" t="s">
        <v>18</v>
      </c>
      <c r="R15" s="8"/>
      <c r="S15" s="9"/>
      <c r="T15" s="9"/>
      <c r="U15" s="9"/>
    </row>
    <row r="16" spans="1:68" ht="22" customHeight="1">
      <c r="A16" s="9"/>
      <c r="B16" s="770"/>
      <c r="C16" s="418" t="s">
        <v>606</v>
      </c>
      <c r="D16" s="99">
        <v>299900</v>
      </c>
      <c r="E16" s="4">
        <f>D16*VLOOKUP($B$14,试算路径及方案简述!D:G,4,0)</f>
        <v>6957.6799999999994</v>
      </c>
      <c r="F16" s="22" t="s">
        <v>18</v>
      </c>
      <c r="G16" s="637">
        <v>173000</v>
      </c>
      <c r="H16" s="100">
        <v>120000</v>
      </c>
      <c r="I16" s="100">
        <v>120000</v>
      </c>
      <c r="J16" s="100">
        <v>120000</v>
      </c>
      <c r="K16" s="100">
        <v>120000</v>
      </c>
      <c r="L16" s="22" t="s">
        <v>18</v>
      </c>
      <c r="M16" s="579">
        <v>50000</v>
      </c>
      <c r="N16" s="579">
        <v>50000</v>
      </c>
      <c r="O16" s="22" t="s">
        <v>18</v>
      </c>
      <c r="P16" s="510" t="s">
        <v>18</v>
      </c>
      <c r="R16" s="8"/>
      <c r="S16" s="9"/>
      <c r="T16" s="9"/>
      <c r="U16" s="9"/>
    </row>
    <row r="17" spans="1:21" ht="22" customHeight="1">
      <c r="B17" s="771"/>
      <c r="C17" s="418" t="s">
        <v>465</v>
      </c>
      <c r="D17" s="99">
        <v>258900</v>
      </c>
      <c r="E17" s="4">
        <f>D17*VLOOKUP($B$14,试算路径及方案简述!D:G,4,0)</f>
        <v>6006.48</v>
      </c>
      <c r="F17" s="22" t="s">
        <v>18</v>
      </c>
      <c r="G17" s="637">
        <v>149200</v>
      </c>
      <c r="H17" s="100">
        <v>120000</v>
      </c>
      <c r="I17" s="100">
        <v>120000</v>
      </c>
      <c r="J17" s="100">
        <v>120000</v>
      </c>
      <c r="K17" s="100">
        <v>120000</v>
      </c>
      <c r="L17" s="22" t="s">
        <v>18</v>
      </c>
      <c r="M17" s="22" t="s">
        <v>18</v>
      </c>
      <c r="N17" s="22" t="s">
        <v>18</v>
      </c>
      <c r="O17" s="22" t="s">
        <v>18</v>
      </c>
      <c r="P17" s="510" t="s">
        <v>18</v>
      </c>
      <c r="Q17" s="764" t="s">
        <v>480</v>
      </c>
      <c r="R17" s="765"/>
      <c r="S17" s="9"/>
      <c r="T17" s="9"/>
      <c r="U17" s="9"/>
    </row>
    <row r="18" spans="1:21" ht="22" customHeight="1">
      <c r="B18" s="769" t="s">
        <v>1</v>
      </c>
      <c r="C18" s="7" t="s">
        <v>88</v>
      </c>
      <c r="D18" s="99">
        <v>469900</v>
      </c>
      <c r="E18" s="4">
        <f>D18*VLOOKUP($B$18,试算路径及方案简述!D:G,4,0)</f>
        <v>3759.2000000000003</v>
      </c>
      <c r="F18" s="637">
        <v>228210</v>
      </c>
      <c r="G18" s="100">
        <v>150000</v>
      </c>
      <c r="H18" s="100">
        <v>150000</v>
      </c>
      <c r="I18" s="100">
        <v>150000</v>
      </c>
      <c r="J18" s="100">
        <v>150000</v>
      </c>
      <c r="K18" s="100">
        <v>150000</v>
      </c>
      <c r="L18" s="22" t="s">
        <v>18</v>
      </c>
      <c r="M18" s="579">
        <v>50000</v>
      </c>
      <c r="N18" s="579">
        <v>50000</v>
      </c>
      <c r="O18" s="510" t="s">
        <v>18</v>
      </c>
      <c r="P18" s="510" t="s">
        <v>18</v>
      </c>
      <c r="Q18" s="8"/>
      <c r="R18" s="8"/>
      <c r="S18" s="9"/>
      <c r="T18" s="9"/>
      <c r="U18" s="9"/>
    </row>
    <row r="19" spans="1:21" ht="22" customHeight="1">
      <c r="B19" s="770"/>
      <c r="C19" s="7" t="s">
        <v>89</v>
      </c>
      <c r="D19" s="99">
        <v>529900</v>
      </c>
      <c r="E19" s="4">
        <f>D19*VLOOKUP($B$18,试算路径及方案简述!D:G,4,0)</f>
        <v>4239.2</v>
      </c>
      <c r="F19" s="637">
        <v>257350</v>
      </c>
      <c r="G19" s="100">
        <v>150000</v>
      </c>
      <c r="H19" s="100">
        <v>150000</v>
      </c>
      <c r="I19" s="100">
        <v>150000</v>
      </c>
      <c r="J19" s="100">
        <v>150000</v>
      </c>
      <c r="K19" s="100">
        <v>150000</v>
      </c>
      <c r="L19" s="22" t="s">
        <v>18</v>
      </c>
      <c r="M19" s="579">
        <v>50000</v>
      </c>
      <c r="N19" s="579">
        <v>50000</v>
      </c>
      <c r="O19" s="510" t="s">
        <v>18</v>
      </c>
      <c r="P19" s="510" t="s">
        <v>18</v>
      </c>
      <c r="Q19" s="8"/>
      <c r="R19" s="8"/>
      <c r="U19" s="6"/>
    </row>
    <row r="20" spans="1:21" s="8" customFormat="1" ht="22" customHeight="1">
      <c r="A20" s="6"/>
      <c r="B20" s="771"/>
      <c r="C20" s="7" t="s">
        <v>364</v>
      </c>
      <c r="D20" s="99">
        <v>689900</v>
      </c>
      <c r="E20" s="4">
        <f>D20*VLOOKUP($B$18,试算路径及方案简述!D:G,4,0)</f>
        <v>5519.2</v>
      </c>
      <c r="F20" s="637">
        <v>335050</v>
      </c>
      <c r="G20" s="100">
        <v>150000</v>
      </c>
      <c r="H20" s="100">
        <v>150000</v>
      </c>
      <c r="I20" s="100">
        <v>150000</v>
      </c>
      <c r="J20" s="100">
        <v>150000</v>
      </c>
      <c r="K20" s="100">
        <v>150000</v>
      </c>
      <c r="L20" s="22" t="s">
        <v>18</v>
      </c>
      <c r="M20" s="579">
        <v>50000</v>
      </c>
      <c r="N20" s="579">
        <v>50000</v>
      </c>
      <c r="O20" s="510" t="s">
        <v>18</v>
      </c>
      <c r="P20" s="510" t="s">
        <v>18</v>
      </c>
    </row>
    <row r="21" spans="1:21" s="8" customFormat="1" ht="22" customHeight="1">
      <c r="A21" s="6"/>
      <c r="B21" s="769" t="s">
        <v>494</v>
      </c>
      <c r="C21" s="7" t="s">
        <v>496</v>
      </c>
      <c r="D21" s="99">
        <v>173900</v>
      </c>
      <c r="E21" s="4">
        <f>D21*VLOOKUP($B$21,试算路径及方案简述!D:G,4,0)</f>
        <v>3704.0699999999997</v>
      </c>
      <c r="F21" s="22" t="s">
        <v>18</v>
      </c>
      <c r="G21" s="634">
        <v>92060</v>
      </c>
      <c r="H21" s="595">
        <v>90000</v>
      </c>
      <c r="I21" s="595">
        <v>90000</v>
      </c>
      <c r="J21" s="595">
        <v>90000</v>
      </c>
      <c r="K21" s="595">
        <v>90000</v>
      </c>
      <c r="L21" s="22" t="s">
        <v>18</v>
      </c>
      <c r="M21" s="579">
        <v>50000</v>
      </c>
      <c r="N21" s="579">
        <v>50000</v>
      </c>
      <c r="O21" s="510" t="s">
        <v>18</v>
      </c>
      <c r="P21" s="510" t="s">
        <v>18</v>
      </c>
    </row>
    <row r="22" spans="1:21" s="8" customFormat="1" ht="22" customHeight="1">
      <c r="A22" s="6"/>
      <c r="B22" s="770"/>
      <c r="C22" s="7" t="s">
        <v>497</v>
      </c>
      <c r="D22" s="99">
        <v>186900</v>
      </c>
      <c r="E22" s="4">
        <f>D22*VLOOKUP($B$21,试算路径及方案简述!D:G,4,0)</f>
        <v>3980.97</v>
      </c>
      <c r="F22" s="22" t="s">
        <v>18</v>
      </c>
      <c r="G22" s="634">
        <v>98940</v>
      </c>
      <c r="H22" s="595">
        <v>90000</v>
      </c>
      <c r="I22" s="595">
        <v>90000</v>
      </c>
      <c r="J22" s="595">
        <v>90000</v>
      </c>
      <c r="K22" s="595">
        <v>90000</v>
      </c>
      <c r="L22" s="22" t="s">
        <v>18</v>
      </c>
      <c r="M22" s="579">
        <v>50000</v>
      </c>
      <c r="N22" s="579">
        <v>50000</v>
      </c>
      <c r="O22" s="510" t="s">
        <v>18</v>
      </c>
      <c r="P22" s="510" t="s">
        <v>18</v>
      </c>
    </row>
    <row r="23" spans="1:21" s="8" customFormat="1" ht="22" customHeight="1">
      <c r="A23" s="6"/>
      <c r="B23" s="770"/>
      <c r="C23" s="7" t="s">
        <v>498</v>
      </c>
      <c r="D23" s="99">
        <v>193900</v>
      </c>
      <c r="E23" s="4">
        <f>D23*VLOOKUP($B$21,试算路径及方案简述!D:G,4,0)</f>
        <v>4130.07</v>
      </c>
      <c r="F23" s="22" t="s">
        <v>18</v>
      </c>
      <c r="G23" s="634">
        <v>102650</v>
      </c>
      <c r="H23" s="595">
        <v>90000</v>
      </c>
      <c r="I23" s="595">
        <v>90000</v>
      </c>
      <c r="J23" s="595">
        <v>90000</v>
      </c>
      <c r="K23" s="595">
        <v>90000</v>
      </c>
      <c r="L23" s="22" t="s">
        <v>18</v>
      </c>
      <c r="M23" s="579">
        <v>50000</v>
      </c>
      <c r="N23" s="579">
        <v>50000</v>
      </c>
      <c r="O23" s="510" t="s">
        <v>18</v>
      </c>
      <c r="P23" s="510" t="s">
        <v>18</v>
      </c>
    </row>
    <row r="24" spans="1:21" s="8" customFormat="1" ht="22" customHeight="1">
      <c r="A24" s="6"/>
      <c r="B24" s="770"/>
      <c r="C24" s="7" t="s">
        <v>499</v>
      </c>
      <c r="D24" s="99">
        <v>206900</v>
      </c>
      <c r="E24" s="4">
        <f>D24*VLOOKUP($B$21,试算路径及方案简述!D:G,4,0)</f>
        <v>4406.97</v>
      </c>
      <c r="F24" s="22" t="s">
        <v>18</v>
      </c>
      <c r="G24" s="634">
        <v>109530</v>
      </c>
      <c r="H24" s="595">
        <v>90000</v>
      </c>
      <c r="I24" s="595">
        <v>90000</v>
      </c>
      <c r="J24" s="595">
        <v>90000</v>
      </c>
      <c r="K24" s="595">
        <v>90000</v>
      </c>
      <c r="L24" s="22" t="s">
        <v>18</v>
      </c>
      <c r="M24" s="579">
        <v>50000</v>
      </c>
      <c r="N24" s="579">
        <v>50000</v>
      </c>
      <c r="O24" s="510" t="s">
        <v>18</v>
      </c>
      <c r="P24" s="510" t="s">
        <v>18</v>
      </c>
    </row>
    <row r="25" spans="1:21" s="8" customFormat="1" ht="22" customHeight="1">
      <c r="A25" s="6"/>
      <c r="B25" s="770"/>
      <c r="C25" s="7" t="s">
        <v>500</v>
      </c>
      <c r="D25" s="99">
        <v>219900</v>
      </c>
      <c r="E25" s="4">
        <f>D25*VLOOKUP($B$21,试算路径及方案简述!D:G,4,0)</f>
        <v>4683.87</v>
      </c>
      <c r="F25" s="22" t="s">
        <v>18</v>
      </c>
      <c r="G25" s="634">
        <v>116410</v>
      </c>
      <c r="H25" s="595">
        <v>90000</v>
      </c>
      <c r="I25" s="595">
        <v>90000</v>
      </c>
      <c r="J25" s="595">
        <v>90000</v>
      </c>
      <c r="K25" s="595">
        <v>90000</v>
      </c>
      <c r="L25" s="22" t="s">
        <v>18</v>
      </c>
      <c r="M25" s="579">
        <v>50000</v>
      </c>
      <c r="N25" s="579">
        <v>50000</v>
      </c>
      <c r="O25" s="510" t="s">
        <v>18</v>
      </c>
      <c r="P25" s="510" t="s">
        <v>18</v>
      </c>
    </row>
    <row r="26" spans="1:21" s="8" customFormat="1" ht="22" customHeight="1">
      <c r="A26" s="6"/>
      <c r="B26" s="771"/>
      <c r="C26" s="7" t="s">
        <v>543</v>
      </c>
      <c r="D26" s="99">
        <v>223900</v>
      </c>
      <c r="E26" s="4">
        <f>D26*VLOOKUP($B$21,试算路径及方案简述!D:G,4,0)</f>
        <v>4769.07</v>
      </c>
      <c r="F26" s="22" t="s">
        <v>18</v>
      </c>
      <c r="G26" s="647">
        <v>118530</v>
      </c>
      <c r="H26" s="646">
        <v>90000</v>
      </c>
      <c r="I26" s="646">
        <v>90000</v>
      </c>
      <c r="J26" s="646">
        <v>90000</v>
      </c>
      <c r="K26" s="646">
        <v>90000</v>
      </c>
      <c r="L26" s="22" t="s">
        <v>18</v>
      </c>
      <c r="M26" s="579">
        <v>50000</v>
      </c>
      <c r="N26" s="579">
        <v>50000</v>
      </c>
      <c r="O26" s="510" t="s">
        <v>18</v>
      </c>
      <c r="P26" s="510" t="s">
        <v>18</v>
      </c>
    </row>
    <row r="27" spans="1:21" s="8" customFormat="1" ht="22" customHeight="1">
      <c r="A27" s="6"/>
      <c r="B27" s="769" t="s">
        <v>568</v>
      </c>
      <c r="C27" s="7" t="s">
        <v>582</v>
      </c>
      <c r="D27" s="99">
        <v>439900</v>
      </c>
      <c r="E27" s="4">
        <f>D27*VLOOKUP($B$27,试算路径及方案简述!D:G,4,0)</f>
        <v>7082.39</v>
      </c>
      <c r="F27" s="22" t="s">
        <v>18</v>
      </c>
      <c r="G27" s="100">
        <v>292100</v>
      </c>
      <c r="H27" s="100">
        <v>220300</v>
      </c>
      <c r="I27" s="100">
        <v>160000</v>
      </c>
      <c r="J27" s="100">
        <v>160000</v>
      </c>
      <c r="K27" s="100">
        <v>160000</v>
      </c>
      <c r="L27" s="22" t="s">
        <v>18</v>
      </c>
      <c r="M27" s="579">
        <v>50000</v>
      </c>
      <c r="N27" s="579">
        <v>50000</v>
      </c>
      <c r="O27" s="510" t="s">
        <v>18</v>
      </c>
      <c r="P27" s="510" t="s">
        <v>18</v>
      </c>
    </row>
    <row r="28" spans="1:21" s="8" customFormat="1" ht="22" customHeight="1">
      <c r="A28" s="6"/>
      <c r="B28" s="770"/>
      <c r="C28" s="7" t="s">
        <v>583</v>
      </c>
      <c r="D28" s="99">
        <v>469900</v>
      </c>
      <c r="E28" s="4">
        <f>D28*VLOOKUP($B$27,试算路径及方案简述!D:G,4,0)</f>
        <v>7565.3899999999994</v>
      </c>
      <c r="F28" s="22" t="s">
        <v>18</v>
      </c>
      <c r="G28" s="100">
        <v>311948</v>
      </c>
      <c r="H28" s="100">
        <v>235300</v>
      </c>
      <c r="I28" s="100">
        <v>160000</v>
      </c>
      <c r="J28" s="100">
        <v>160000</v>
      </c>
      <c r="K28" s="100">
        <v>160000</v>
      </c>
      <c r="L28" s="22" t="s">
        <v>18</v>
      </c>
      <c r="M28" s="579">
        <v>50000</v>
      </c>
      <c r="N28" s="579">
        <v>50000</v>
      </c>
      <c r="O28" s="510" t="s">
        <v>18</v>
      </c>
      <c r="P28" s="510" t="s">
        <v>18</v>
      </c>
    </row>
    <row r="29" spans="1:21" s="8" customFormat="1" ht="22" customHeight="1">
      <c r="A29" s="6"/>
      <c r="B29" s="770"/>
      <c r="C29" s="7" t="s">
        <v>608</v>
      </c>
      <c r="D29" s="99">
        <v>489900</v>
      </c>
      <c r="E29" s="4">
        <f>D29*VLOOKUP($B$27,试算路径及方案简述!D:G,4,0)</f>
        <v>7887.3899999999994</v>
      </c>
      <c r="F29" s="22" t="s">
        <v>18</v>
      </c>
      <c r="G29" s="100">
        <v>325200</v>
      </c>
      <c r="H29" s="100">
        <v>245300</v>
      </c>
      <c r="I29" s="100">
        <v>160000</v>
      </c>
      <c r="J29" s="100">
        <v>160000</v>
      </c>
      <c r="K29" s="100">
        <v>160000</v>
      </c>
      <c r="L29" s="22" t="s">
        <v>18</v>
      </c>
      <c r="M29" s="579">
        <v>50000</v>
      </c>
      <c r="N29" s="579">
        <v>50000</v>
      </c>
      <c r="O29" s="510" t="s">
        <v>18</v>
      </c>
      <c r="P29" s="510" t="s">
        <v>18</v>
      </c>
    </row>
    <row r="30" spans="1:21" s="8" customFormat="1" ht="22" customHeight="1">
      <c r="A30" s="6"/>
      <c r="B30" s="771"/>
      <c r="C30" s="648" t="s">
        <v>614</v>
      </c>
      <c r="D30" s="99">
        <v>499900</v>
      </c>
      <c r="E30" s="4">
        <f>D30*VLOOKUP($B$27,试算路径及方案简述!D:G,4,0)</f>
        <v>8048.3899999999994</v>
      </c>
      <c r="F30" s="22" t="s">
        <v>18</v>
      </c>
      <c r="G30" s="693">
        <v>331800</v>
      </c>
      <c r="H30" s="693">
        <v>250300</v>
      </c>
      <c r="I30" s="100">
        <v>160000</v>
      </c>
      <c r="J30" s="100">
        <v>160000</v>
      </c>
      <c r="K30" s="100">
        <v>160000</v>
      </c>
      <c r="L30" s="22" t="s">
        <v>18</v>
      </c>
      <c r="M30" s="579">
        <v>50000</v>
      </c>
      <c r="N30" s="579">
        <v>50000</v>
      </c>
      <c r="O30" s="510" t="s">
        <v>18</v>
      </c>
      <c r="P30" s="510" t="s">
        <v>18</v>
      </c>
    </row>
    <row r="31" spans="1:21" s="8" customFormat="1" ht="22" customHeight="1">
      <c r="B31" s="778" t="s">
        <v>418</v>
      </c>
      <c r="C31" s="7" t="s">
        <v>417</v>
      </c>
      <c r="D31" s="99">
        <v>229900</v>
      </c>
      <c r="E31" s="4">
        <f>D31*VLOOKUP($B$31,试算路径及方案简述!D:G,4,0)</f>
        <v>3678.4</v>
      </c>
      <c r="F31" s="22" t="s">
        <v>18</v>
      </c>
      <c r="G31" s="635">
        <v>91420</v>
      </c>
      <c r="H31" s="595">
        <v>80000</v>
      </c>
      <c r="I31" s="595">
        <v>80000</v>
      </c>
      <c r="J31" s="595">
        <v>80000</v>
      </c>
      <c r="K31" s="595">
        <v>80000</v>
      </c>
      <c r="L31" s="22" t="s">
        <v>18</v>
      </c>
      <c r="M31" s="579">
        <v>50000</v>
      </c>
      <c r="N31" s="579">
        <v>50000</v>
      </c>
      <c r="O31" s="636">
        <v>73565</v>
      </c>
      <c r="P31" s="760">
        <v>90000</v>
      </c>
    </row>
    <row r="32" spans="1:21" s="8" customFormat="1" ht="22" customHeight="1">
      <c r="B32" s="778"/>
      <c r="C32" s="7" t="s">
        <v>408</v>
      </c>
      <c r="D32" s="99">
        <v>239900</v>
      </c>
      <c r="E32" s="4">
        <f>D32*VLOOKUP($B$31,试算路径及方案简述!D:G,4,0)</f>
        <v>3838.4</v>
      </c>
      <c r="F32" s="22" t="s">
        <v>18</v>
      </c>
      <c r="G32" s="635">
        <v>95400</v>
      </c>
      <c r="H32" s="595">
        <v>80000</v>
      </c>
      <c r="I32" s="595">
        <v>80000</v>
      </c>
      <c r="J32" s="595">
        <v>80000</v>
      </c>
      <c r="K32" s="595">
        <v>80000</v>
      </c>
      <c r="L32" s="22" t="s">
        <v>18</v>
      </c>
      <c r="M32" s="579">
        <v>50000</v>
      </c>
      <c r="N32" s="579">
        <v>50000</v>
      </c>
      <c r="O32" s="636">
        <v>76765</v>
      </c>
      <c r="P32" s="761"/>
    </row>
    <row r="33" spans="1:21" s="8" customFormat="1" ht="22" customHeight="1">
      <c r="B33" s="778"/>
      <c r="C33" s="7" t="s">
        <v>409</v>
      </c>
      <c r="D33" s="99">
        <v>259900</v>
      </c>
      <c r="E33" s="4">
        <f>D33*VLOOKUP($B$31,试算路径及方案简述!D:G,4,0)</f>
        <v>4158.3999999999996</v>
      </c>
      <c r="F33" s="22" t="s">
        <v>18</v>
      </c>
      <c r="G33" s="635">
        <v>103300</v>
      </c>
      <c r="H33" s="595">
        <v>80000</v>
      </c>
      <c r="I33" s="595">
        <v>80000</v>
      </c>
      <c r="J33" s="595">
        <v>80000</v>
      </c>
      <c r="K33" s="595">
        <v>80000</v>
      </c>
      <c r="L33" s="22" t="s">
        <v>18</v>
      </c>
      <c r="M33" s="579">
        <v>50000</v>
      </c>
      <c r="N33" s="579">
        <v>50000</v>
      </c>
      <c r="O33" s="636">
        <v>83165</v>
      </c>
      <c r="P33" s="762"/>
      <c r="Q33" s="577"/>
    </row>
    <row r="34" spans="1:21" s="8" customFormat="1" ht="22" customHeight="1">
      <c r="B34" s="778" t="s">
        <v>420</v>
      </c>
      <c r="C34" s="7" t="s">
        <v>419</v>
      </c>
      <c r="D34" s="99">
        <v>196900</v>
      </c>
      <c r="E34" s="4">
        <f>D34*VLOOKUP($B$34,试算路径及方案简述!D:G,4,0)</f>
        <v>3012.5699999999997</v>
      </c>
      <c r="F34" s="22" t="s">
        <v>18</v>
      </c>
      <c r="G34" s="635">
        <v>74850</v>
      </c>
      <c r="H34" s="595">
        <v>70000</v>
      </c>
      <c r="I34" s="595">
        <v>70000</v>
      </c>
      <c r="J34" s="595">
        <v>70000</v>
      </c>
      <c r="K34" s="595">
        <v>70000</v>
      </c>
      <c r="L34" s="22" t="s">
        <v>18</v>
      </c>
      <c r="M34" s="579">
        <v>50000</v>
      </c>
      <c r="N34" s="579">
        <v>50000</v>
      </c>
      <c r="O34" s="636">
        <v>60250</v>
      </c>
      <c r="P34" s="760">
        <v>90000</v>
      </c>
    </row>
    <row r="35" spans="1:21" s="8" customFormat="1" ht="22" customHeight="1">
      <c r="B35" s="778"/>
      <c r="C35" s="7" t="s">
        <v>413</v>
      </c>
      <c r="D35" s="99">
        <v>204900</v>
      </c>
      <c r="E35" s="4">
        <f>D35*VLOOKUP($B$34,试算路径及方案简述!D:G,4,0)</f>
        <v>3134.97</v>
      </c>
      <c r="F35" s="22" t="s">
        <v>18</v>
      </c>
      <c r="G35" s="635">
        <v>77910</v>
      </c>
      <c r="H35" s="595">
        <v>70000</v>
      </c>
      <c r="I35" s="595">
        <v>70000</v>
      </c>
      <c r="J35" s="595">
        <v>70000</v>
      </c>
      <c r="K35" s="595">
        <v>70000</v>
      </c>
      <c r="L35" s="22" t="s">
        <v>18</v>
      </c>
      <c r="M35" s="579">
        <v>50000</v>
      </c>
      <c r="N35" s="579">
        <v>50000</v>
      </c>
      <c r="O35" s="636">
        <v>62650</v>
      </c>
      <c r="P35" s="761"/>
    </row>
    <row r="36" spans="1:21" s="8" customFormat="1" ht="22" customHeight="1">
      <c r="B36" s="778" t="s">
        <v>422</v>
      </c>
      <c r="C36" s="7" t="s">
        <v>421</v>
      </c>
      <c r="D36" s="99">
        <v>209900</v>
      </c>
      <c r="E36" s="4">
        <f>D36*VLOOKUP($B$36,试算路径及方案简述!D:G,4,0)</f>
        <v>3442.36</v>
      </c>
      <c r="F36" s="22" t="s">
        <v>18</v>
      </c>
      <c r="G36" s="635">
        <v>85550</v>
      </c>
      <c r="H36" s="595">
        <v>80000</v>
      </c>
      <c r="I36" s="595">
        <v>80000</v>
      </c>
      <c r="J36" s="595">
        <v>80000</v>
      </c>
      <c r="K36" s="595">
        <v>80000</v>
      </c>
      <c r="L36" s="22" t="s">
        <v>18</v>
      </c>
      <c r="M36" s="579">
        <v>50000</v>
      </c>
      <c r="N36" s="579">
        <v>50000</v>
      </c>
      <c r="O36" s="636">
        <v>68845</v>
      </c>
      <c r="P36" s="760">
        <v>90000</v>
      </c>
    </row>
    <row r="37" spans="1:21" s="8" customFormat="1" ht="22" customHeight="1">
      <c r="B37" s="778"/>
      <c r="C37" s="7" t="s">
        <v>415</v>
      </c>
      <c r="D37" s="99">
        <v>239900</v>
      </c>
      <c r="E37" s="4">
        <f>D37*VLOOKUP($B$36,试算路径及方案简述!D:G,4,0)</f>
        <v>3934.36</v>
      </c>
      <c r="F37" s="22" t="s">
        <v>18</v>
      </c>
      <c r="G37" s="635">
        <v>97700</v>
      </c>
      <c r="H37" s="595">
        <v>80000</v>
      </c>
      <c r="I37" s="595">
        <v>80000</v>
      </c>
      <c r="J37" s="595">
        <v>80000</v>
      </c>
      <c r="K37" s="595">
        <v>80000</v>
      </c>
      <c r="L37" s="22" t="s">
        <v>18</v>
      </c>
      <c r="M37" s="579">
        <v>50000</v>
      </c>
      <c r="N37" s="579">
        <v>50000</v>
      </c>
      <c r="O37" s="636">
        <v>78685</v>
      </c>
      <c r="P37" s="762"/>
    </row>
    <row r="38" spans="1:21" s="8" customFormat="1" ht="22" customHeight="1">
      <c r="B38" s="769" t="s">
        <v>260</v>
      </c>
      <c r="C38" s="7" t="s">
        <v>423</v>
      </c>
      <c r="D38" s="99">
        <v>159800</v>
      </c>
      <c r="E38" s="4">
        <f>D38*VLOOKUP($B$38,试算路径及方案简述!D:G,4,0)</f>
        <v>2460.92</v>
      </c>
      <c r="F38" s="22" t="s">
        <v>18</v>
      </c>
      <c r="G38" s="635">
        <v>61160</v>
      </c>
      <c r="H38" s="595">
        <v>55000</v>
      </c>
      <c r="I38" s="595">
        <v>55000</v>
      </c>
      <c r="J38" s="595">
        <v>55000</v>
      </c>
      <c r="K38" s="595">
        <v>55000</v>
      </c>
      <c r="L38" s="22" t="s">
        <v>18</v>
      </c>
      <c r="M38" s="579">
        <v>50000</v>
      </c>
      <c r="N38" s="579">
        <v>50000</v>
      </c>
      <c r="O38" s="636">
        <v>49215</v>
      </c>
      <c r="P38" s="760">
        <v>70000</v>
      </c>
    </row>
    <row r="39" spans="1:21" s="8" customFormat="1" ht="22" customHeight="1">
      <c r="B39" s="770"/>
      <c r="C39" s="7" t="s">
        <v>539</v>
      </c>
      <c r="D39" s="99">
        <v>175800</v>
      </c>
      <c r="E39" s="4">
        <f>D39*VLOOKUP($B$38,试算路径及方案简述!D:G,4,0)</f>
        <v>2707.32</v>
      </c>
      <c r="F39" s="22" t="s">
        <v>18</v>
      </c>
      <c r="G39" s="635">
        <v>67250</v>
      </c>
      <c r="H39" s="595">
        <v>55000</v>
      </c>
      <c r="I39" s="595">
        <v>55000</v>
      </c>
      <c r="J39" s="595">
        <v>55000</v>
      </c>
      <c r="K39" s="595">
        <v>55000</v>
      </c>
      <c r="L39" s="22" t="s">
        <v>18</v>
      </c>
      <c r="M39" s="579">
        <v>50000</v>
      </c>
      <c r="N39" s="579">
        <v>50000</v>
      </c>
      <c r="O39" s="636">
        <v>54145</v>
      </c>
      <c r="P39" s="761"/>
    </row>
    <row r="40" spans="1:21" s="8" customFormat="1" ht="22" customHeight="1">
      <c r="B40" s="770"/>
      <c r="C40" s="7" t="s">
        <v>541</v>
      </c>
      <c r="D40" s="99">
        <v>162800</v>
      </c>
      <c r="E40" s="4">
        <f>D40*VLOOKUP($B$38,试算路径及方案简述!D:G,4,0)</f>
        <v>2507.12</v>
      </c>
      <c r="F40" s="22" t="s">
        <v>18</v>
      </c>
      <c r="G40" s="635">
        <v>62300</v>
      </c>
      <c r="H40" s="646">
        <v>55000</v>
      </c>
      <c r="I40" s="646">
        <v>55000</v>
      </c>
      <c r="J40" s="646">
        <v>55000</v>
      </c>
      <c r="K40" s="646">
        <v>55000</v>
      </c>
      <c r="L40" s="22" t="s">
        <v>18</v>
      </c>
      <c r="M40" s="579">
        <v>50000</v>
      </c>
      <c r="N40" s="579">
        <v>50000</v>
      </c>
      <c r="O40" s="646">
        <v>50140</v>
      </c>
      <c r="P40" s="761"/>
    </row>
    <row r="41" spans="1:21" s="8" customFormat="1" ht="22" customHeight="1">
      <c r="B41" s="771"/>
      <c r="C41" s="7" t="s">
        <v>540</v>
      </c>
      <c r="D41" s="99">
        <v>178800</v>
      </c>
      <c r="E41" s="4">
        <f>D41*VLOOKUP($B$38,试算路径及方案简述!D:G,4,0)</f>
        <v>2753.52</v>
      </c>
      <c r="F41" s="22" t="s">
        <v>18</v>
      </c>
      <c r="G41" s="635">
        <v>68400</v>
      </c>
      <c r="H41" s="646">
        <v>55000</v>
      </c>
      <c r="I41" s="646">
        <v>55000</v>
      </c>
      <c r="J41" s="646">
        <v>55000</v>
      </c>
      <c r="K41" s="646">
        <v>55000</v>
      </c>
      <c r="L41" s="22" t="s">
        <v>18</v>
      </c>
      <c r="M41" s="579">
        <v>50000</v>
      </c>
      <c r="N41" s="579">
        <v>50000</v>
      </c>
      <c r="O41" s="646">
        <v>55070</v>
      </c>
      <c r="P41" s="762"/>
    </row>
    <row r="42" spans="1:21" s="8" customFormat="1" ht="22" customHeight="1">
      <c r="B42" s="772" t="s">
        <v>271</v>
      </c>
      <c r="C42" s="101" t="s">
        <v>36</v>
      </c>
      <c r="D42" s="99">
        <v>112800</v>
      </c>
      <c r="E42" s="4">
        <f>D42*VLOOKUP($B$42,试算路径及方案简述!D:G,4,0)</f>
        <v>2052.96</v>
      </c>
      <c r="F42" s="22" t="s">
        <v>18</v>
      </c>
      <c r="G42" s="22" t="s">
        <v>18</v>
      </c>
      <c r="H42" s="22" t="s">
        <v>18</v>
      </c>
      <c r="I42" s="359">
        <v>30000</v>
      </c>
      <c r="J42" s="359">
        <v>30000</v>
      </c>
      <c r="K42" s="359">
        <v>30000</v>
      </c>
      <c r="L42" s="22" t="s">
        <v>18</v>
      </c>
      <c r="M42" s="579">
        <v>50000</v>
      </c>
      <c r="N42" s="100">
        <v>50000</v>
      </c>
      <c r="O42" s="359">
        <v>30000</v>
      </c>
      <c r="P42" s="22" t="s">
        <v>18</v>
      </c>
    </row>
    <row r="43" spans="1:21" s="8" customFormat="1" ht="22" customHeight="1">
      <c r="B43" s="774"/>
      <c r="C43" s="101" t="s">
        <v>37</v>
      </c>
      <c r="D43" s="99">
        <v>117800</v>
      </c>
      <c r="E43" s="4">
        <f>D43*VLOOKUP($B$42,试算路径及方案简述!D:G,4,0)</f>
        <v>2143.96</v>
      </c>
      <c r="F43" s="22" t="s">
        <v>18</v>
      </c>
      <c r="G43" s="22" t="s">
        <v>18</v>
      </c>
      <c r="H43" s="22" t="s">
        <v>18</v>
      </c>
      <c r="I43" s="359">
        <v>30000</v>
      </c>
      <c r="J43" s="359">
        <v>30000</v>
      </c>
      <c r="K43" s="359">
        <v>30000</v>
      </c>
      <c r="L43" s="22" t="s">
        <v>18</v>
      </c>
      <c r="M43" s="579">
        <v>50000</v>
      </c>
      <c r="N43" s="100">
        <v>50000</v>
      </c>
      <c r="O43" s="359">
        <v>30000</v>
      </c>
      <c r="P43" s="22" t="s">
        <v>18</v>
      </c>
    </row>
    <row r="44" spans="1:21" ht="22" customHeight="1">
      <c r="A44" s="8"/>
      <c r="B44" s="772" t="s">
        <v>33</v>
      </c>
      <c r="C44" s="102" t="s">
        <v>24</v>
      </c>
      <c r="D44" s="99">
        <v>129900</v>
      </c>
      <c r="E44" s="4">
        <f>D44*VLOOKUP($B$44,试算路径及方案简述!D:G,4,0)</f>
        <v>909.30000000000007</v>
      </c>
      <c r="F44" s="22" t="s">
        <v>18</v>
      </c>
      <c r="G44" s="692">
        <v>31000</v>
      </c>
      <c r="H44" s="692">
        <v>31000</v>
      </c>
      <c r="I44" s="692">
        <v>31000</v>
      </c>
      <c r="J44" s="692">
        <v>31000</v>
      </c>
      <c r="K44" s="692">
        <v>31000</v>
      </c>
      <c r="L44" s="22" t="s">
        <v>18</v>
      </c>
      <c r="M44" s="579">
        <v>50000</v>
      </c>
      <c r="N44" s="100">
        <v>50000</v>
      </c>
      <c r="O44" s="359">
        <v>30000</v>
      </c>
      <c r="P44" s="22" t="s">
        <v>18</v>
      </c>
      <c r="U44" s="6"/>
    </row>
    <row r="45" spans="1:21" ht="22" customHeight="1">
      <c r="B45" s="773"/>
      <c r="C45" s="102" t="s">
        <v>25</v>
      </c>
      <c r="D45" s="99">
        <v>139900</v>
      </c>
      <c r="E45" s="4">
        <f>D45*VLOOKUP($B$44,试算路径及方案简述!D:G,4,0)</f>
        <v>979.30000000000007</v>
      </c>
      <c r="F45" s="22" t="s">
        <v>18</v>
      </c>
      <c r="G45" s="692">
        <v>31000</v>
      </c>
      <c r="H45" s="692">
        <v>31000</v>
      </c>
      <c r="I45" s="692">
        <v>31000</v>
      </c>
      <c r="J45" s="692">
        <v>31000</v>
      </c>
      <c r="K45" s="692">
        <v>31000</v>
      </c>
      <c r="L45" s="22" t="s">
        <v>18</v>
      </c>
      <c r="M45" s="579">
        <v>50000</v>
      </c>
      <c r="N45" s="100">
        <v>50000</v>
      </c>
      <c r="O45" s="359">
        <v>30000</v>
      </c>
      <c r="P45" s="22" t="s">
        <v>18</v>
      </c>
      <c r="U45" s="6"/>
    </row>
    <row r="46" spans="1:21" ht="22" customHeight="1">
      <c r="B46" s="773"/>
      <c r="C46" s="102" t="s">
        <v>26</v>
      </c>
      <c r="D46" s="99">
        <v>152900</v>
      </c>
      <c r="E46" s="4">
        <f>D46*VLOOKUP($B$44,试算路径及方案简述!D:G,4,0)</f>
        <v>1070.3</v>
      </c>
      <c r="F46" s="22" t="s">
        <v>18</v>
      </c>
      <c r="G46" s="692">
        <v>31000</v>
      </c>
      <c r="H46" s="692">
        <v>31000</v>
      </c>
      <c r="I46" s="692">
        <v>31000</v>
      </c>
      <c r="J46" s="692">
        <v>31000</v>
      </c>
      <c r="K46" s="692">
        <v>31000</v>
      </c>
      <c r="L46" s="22" t="s">
        <v>18</v>
      </c>
      <c r="M46" s="579">
        <v>50000</v>
      </c>
      <c r="N46" s="100">
        <v>50000</v>
      </c>
      <c r="O46" s="359">
        <v>30000</v>
      </c>
      <c r="P46" s="22" t="s">
        <v>18</v>
      </c>
      <c r="U46" s="6"/>
    </row>
    <row r="47" spans="1:21" ht="22" customHeight="1">
      <c r="B47" s="773"/>
      <c r="C47" s="102" t="s">
        <v>27</v>
      </c>
      <c r="D47" s="99">
        <v>128900</v>
      </c>
      <c r="E47" s="4">
        <f>D47*VLOOKUP($B$44,试算路径及方案简述!D:G,4,0)</f>
        <v>902.30000000000007</v>
      </c>
      <c r="F47" s="22" t="s">
        <v>18</v>
      </c>
      <c r="G47" s="692">
        <v>31000</v>
      </c>
      <c r="H47" s="692">
        <v>31000</v>
      </c>
      <c r="I47" s="692">
        <v>31000</v>
      </c>
      <c r="J47" s="692">
        <v>31000</v>
      </c>
      <c r="K47" s="692">
        <v>31000</v>
      </c>
      <c r="L47" s="22" t="s">
        <v>18</v>
      </c>
      <c r="M47" s="579">
        <v>50000</v>
      </c>
      <c r="N47" s="100">
        <v>50000</v>
      </c>
      <c r="O47" s="359">
        <v>30000</v>
      </c>
      <c r="P47" s="22" t="s">
        <v>18</v>
      </c>
      <c r="U47" s="6"/>
    </row>
    <row r="48" spans="1:21" ht="22" customHeight="1">
      <c r="B48" s="773"/>
      <c r="C48" s="102" t="s">
        <v>28</v>
      </c>
      <c r="D48" s="99">
        <v>145900</v>
      </c>
      <c r="E48" s="4">
        <f>D48*VLOOKUP($B$44,试算路径及方案简述!D:G,4,0)</f>
        <v>1021.3000000000001</v>
      </c>
      <c r="F48" s="22" t="s">
        <v>18</v>
      </c>
      <c r="G48" s="692">
        <v>31000</v>
      </c>
      <c r="H48" s="692">
        <v>31000</v>
      </c>
      <c r="I48" s="692">
        <v>31000</v>
      </c>
      <c r="J48" s="692">
        <v>31000</v>
      </c>
      <c r="K48" s="692">
        <v>31000</v>
      </c>
      <c r="L48" s="22" t="s">
        <v>18</v>
      </c>
      <c r="M48" s="579">
        <v>50000</v>
      </c>
      <c r="N48" s="100">
        <v>50000</v>
      </c>
      <c r="O48" s="359">
        <v>30000</v>
      </c>
      <c r="P48" s="22" t="s">
        <v>18</v>
      </c>
      <c r="U48" s="6"/>
    </row>
    <row r="49" spans="2:21" ht="22" customHeight="1">
      <c r="B49" s="773"/>
      <c r="C49" s="102" t="s">
        <v>111</v>
      </c>
      <c r="D49" s="99">
        <v>146900</v>
      </c>
      <c r="E49" s="4">
        <f>D49*VLOOKUP($B$44,试算路径及方案简述!D:G,4,0)</f>
        <v>1028.3</v>
      </c>
      <c r="F49" s="22" t="s">
        <v>18</v>
      </c>
      <c r="G49" s="692">
        <v>31000</v>
      </c>
      <c r="H49" s="692">
        <v>31000</v>
      </c>
      <c r="I49" s="692">
        <v>31000</v>
      </c>
      <c r="J49" s="692">
        <v>31000</v>
      </c>
      <c r="K49" s="692">
        <v>31000</v>
      </c>
      <c r="L49" s="22" t="s">
        <v>18</v>
      </c>
      <c r="M49" s="579">
        <v>50000</v>
      </c>
      <c r="N49" s="100">
        <v>50000</v>
      </c>
      <c r="O49" s="359">
        <v>30000</v>
      </c>
      <c r="P49" s="22" t="s">
        <v>18</v>
      </c>
      <c r="U49" s="6"/>
    </row>
    <row r="50" spans="2:21" ht="27" customHeight="1">
      <c r="B50" s="773"/>
      <c r="C50" s="102" t="s">
        <v>110</v>
      </c>
      <c r="D50" s="99">
        <v>148900</v>
      </c>
      <c r="E50" s="4">
        <f>D50*VLOOKUP($B$44,试算路径及方案简述!D:G,4,0)</f>
        <v>1042.3</v>
      </c>
      <c r="F50" s="22" t="s">
        <v>18</v>
      </c>
      <c r="G50" s="692">
        <v>31000</v>
      </c>
      <c r="H50" s="692">
        <v>31000</v>
      </c>
      <c r="I50" s="692">
        <v>31000</v>
      </c>
      <c r="J50" s="692">
        <v>31000</v>
      </c>
      <c r="K50" s="692">
        <v>31000</v>
      </c>
      <c r="L50" s="22" t="s">
        <v>18</v>
      </c>
      <c r="M50" s="579">
        <v>50000</v>
      </c>
      <c r="N50" s="100">
        <v>50000</v>
      </c>
      <c r="O50" s="359">
        <v>30000</v>
      </c>
      <c r="P50" s="22" t="s">
        <v>18</v>
      </c>
      <c r="U50" s="6"/>
    </row>
    <row r="51" spans="2:21" ht="22" customHeight="1">
      <c r="B51" s="773"/>
      <c r="C51" s="102" t="s">
        <v>29</v>
      </c>
      <c r="D51" s="99">
        <v>158900</v>
      </c>
      <c r="E51" s="4">
        <f>D51*VLOOKUP($B$44,试算路径及方案简述!D:G,4,0)</f>
        <v>1112.3</v>
      </c>
      <c r="F51" s="22" t="s">
        <v>18</v>
      </c>
      <c r="G51" s="692">
        <v>31000</v>
      </c>
      <c r="H51" s="692">
        <v>31000</v>
      </c>
      <c r="I51" s="692">
        <v>31000</v>
      </c>
      <c r="J51" s="692">
        <v>31000</v>
      </c>
      <c r="K51" s="692">
        <v>31000</v>
      </c>
      <c r="L51" s="22" t="s">
        <v>18</v>
      </c>
      <c r="M51" s="579">
        <v>50000</v>
      </c>
      <c r="N51" s="100">
        <v>50000</v>
      </c>
      <c r="O51" s="359">
        <v>30000</v>
      </c>
      <c r="P51" s="22" t="s">
        <v>18</v>
      </c>
      <c r="U51" s="6"/>
    </row>
    <row r="52" spans="2:21" ht="33" customHeight="1">
      <c r="B52" s="773"/>
      <c r="C52" s="583" t="s">
        <v>109</v>
      </c>
      <c r="D52" s="99">
        <v>159900</v>
      </c>
      <c r="E52" s="4">
        <f>D52*VLOOKUP($B$44,试算路径及方案简述!D:G,4,0)</f>
        <v>1119.3</v>
      </c>
      <c r="F52" s="22" t="s">
        <v>18</v>
      </c>
      <c r="G52" s="692">
        <v>31000</v>
      </c>
      <c r="H52" s="692">
        <v>31000</v>
      </c>
      <c r="I52" s="692">
        <v>31000</v>
      </c>
      <c r="J52" s="692">
        <v>31000</v>
      </c>
      <c r="K52" s="692">
        <v>31000</v>
      </c>
      <c r="L52" s="22" t="s">
        <v>18</v>
      </c>
      <c r="M52" s="579">
        <v>50000</v>
      </c>
      <c r="N52" s="100">
        <v>50000</v>
      </c>
      <c r="O52" s="359">
        <v>30000</v>
      </c>
      <c r="P52" s="22" t="s">
        <v>18</v>
      </c>
      <c r="U52" s="6"/>
    </row>
    <row r="53" spans="2:21" ht="33" customHeight="1">
      <c r="B53" s="774"/>
      <c r="C53" s="583" t="s">
        <v>108</v>
      </c>
      <c r="D53" s="99">
        <v>161900</v>
      </c>
      <c r="E53" s="4">
        <f>D53*VLOOKUP($B$44,试算路径及方案简述!D:G,4,0)</f>
        <v>1133.3</v>
      </c>
      <c r="F53" s="510" t="s">
        <v>18</v>
      </c>
      <c r="G53" s="692">
        <v>31000</v>
      </c>
      <c r="H53" s="692">
        <v>31000</v>
      </c>
      <c r="I53" s="692">
        <v>31000</v>
      </c>
      <c r="J53" s="692">
        <v>31000</v>
      </c>
      <c r="K53" s="692">
        <v>31000</v>
      </c>
      <c r="L53" s="400" t="s">
        <v>18</v>
      </c>
      <c r="M53" s="579">
        <v>50000</v>
      </c>
      <c r="N53" s="100">
        <v>50000</v>
      </c>
      <c r="O53" s="359">
        <v>30000</v>
      </c>
      <c r="P53" s="510" t="s">
        <v>18</v>
      </c>
      <c r="U53" s="6"/>
    </row>
    <row r="54" spans="2:21" ht="40.5" customHeight="1">
      <c r="U54" s="6"/>
    </row>
    <row r="55" spans="2:21" ht="40.5" customHeight="1">
      <c r="U55" s="6"/>
    </row>
    <row r="56" spans="2:21" ht="16.75" customHeight="1">
      <c r="B56" s="6"/>
      <c r="C56" s="265"/>
      <c r="U56" s="6"/>
    </row>
    <row r="57" spans="2:21" ht="16.75" customHeight="1">
      <c r="B57" s="265"/>
      <c r="C57" s="265"/>
    </row>
    <row r="58" spans="2:21" ht="16.75" customHeight="1">
      <c r="B58" s="265"/>
      <c r="C58" s="265"/>
    </row>
    <row r="59" spans="2:21" ht="16.75" customHeight="1">
      <c r="B59" s="265"/>
      <c r="C59" s="265"/>
    </row>
    <row r="60" spans="2:21" ht="16.75" customHeight="1">
      <c r="B60" s="265"/>
      <c r="C60" s="265"/>
    </row>
    <row r="61" spans="2:21" ht="16.75" customHeight="1">
      <c r="B61" s="265"/>
      <c r="C61" s="265"/>
    </row>
    <row r="62" spans="2:21" ht="16.75" customHeight="1">
      <c r="B62" s="265"/>
      <c r="C62" s="265"/>
    </row>
    <row r="63" spans="2:21" ht="16.75" customHeight="1">
      <c r="B63" s="265"/>
      <c r="C63" s="265"/>
    </row>
    <row r="64" spans="2:21" ht="16.75" customHeight="1">
      <c r="B64" s="265"/>
      <c r="C64" s="265"/>
    </row>
    <row r="65" spans="2:3" ht="16.75" customHeight="1">
      <c r="B65" s="265"/>
      <c r="C65" s="265"/>
    </row>
    <row r="66" spans="2:3" ht="16.75" customHeight="1">
      <c r="B66" s="265"/>
      <c r="C66" s="265"/>
    </row>
    <row r="67" spans="2:3" ht="16.75" customHeight="1"/>
    <row r="68" spans="2:3" ht="16.75" customHeight="1"/>
    <row r="69" spans="2:3" ht="16.75" customHeight="1"/>
    <row r="70" spans="2:3" ht="16.75" customHeight="1"/>
    <row r="71" spans="2:3" ht="16.75" customHeight="1"/>
    <row r="72" spans="2:3" ht="16.75" customHeight="1"/>
    <row r="73" spans="2:3" ht="16.75" customHeight="1"/>
    <row r="74" spans="2:3" ht="16.75" customHeight="1"/>
    <row r="75" spans="2:3" ht="16.75" customHeight="1"/>
    <row r="76" spans="2:3" ht="16.75" customHeight="1"/>
    <row r="77" spans="2:3" ht="16.75" customHeight="1"/>
    <row r="78" spans="2:3" ht="16.75" customHeight="1"/>
  </sheetData>
  <sheetProtection algorithmName="SHA-512" hashValue="VYlyWOWKWUiP+wo6UgygZoReo2734QoNKOAdhwspgx4Ig6rI8vfJFMGMGBrUEeN/YdMPz/3tZJPuJZLwGBypBA==" saltValue="oIJh3RH/yQm3vQ9nmSsdew==" spinCount="100000" sheet="1" objects="1" scenarios="1"/>
  <mergeCells count="21">
    <mergeCell ref="B21:B26"/>
    <mergeCell ref="P38:P41"/>
    <mergeCell ref="B44:B53"/>
    <mergeCell ref="F6:K6"/>
    <mergeCell ref="B42:B43"/>
    <mergeCell ref="B18:B20"/>
    <mergeCell ref="B31:B33"/>
    <mergeCell ref="B34:B35"/>
    <mergeCell ref="B36:B37"/>
    <mergeCell ref="B14:B17"/>
    <mergeCell ref="B11:B13"/>
    <mergeCell ref="B8:B10"/>
    <mergeCell ref="B38:B41"/>
    <mergeCell ref="B27:B30"/>
    <mergeCell ref="P34:P35"/>
    <mergeCell ref="P36:P37"/>
    <mergeCell ref="P31:P33"/>
    <mergeCell ref="D2:P3"/>
    <mergeCell ref="Q17:R17"/>
    <mergeCell ref="L11:L13"/>
    <mergeCell ref="L8:L10"/>
  </mergeCells>
  <phoneticPr fontId="1" type="noConversion"/>
  <hyperlinks>
    <hyperlink ref="B2" location="试算路径及方案简述!A1" display="返回" xr:uid="{00000000-0004-0000-0100-000000000000}"/>
  </hyperlinks>
  <pageMargins left="0.7" right="0.7" top="0.75" bottom="0.75" header="0.3" footer="0.3"/>
  <pageSetup orientation="portrait" horizontalDpi="300" verticalDpi="0" copies="0"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theme="8" tint="0.59999389629810485"/>
  </sheetPr>
  <dimension ref="A1:Q21"/>
  <sheetViews>
    <sheetView zoomScale="55" zoomScaleNormal="55" workbookViewId="0">
      <pane ySplit="13" topLeftCell="A14" activePane="bottomLeft" state="frozen"/>
      <selection pane="bottomLeft" activeCell="E9" sqref="E9"/>
    </sheetView>
  </sheetViews>
  <sheetFormatPr defaultColWidth="8.75" defaultRowHeight="16.5"/>
  <cols>
    <col min="1" max="1" width="22.33203125" style="23" customWidth="1"/>
    <col min="2" max="2" width="17.33203125" style="23" customWidth="1"/>
    <col min="3" max="3" width="23.33203125" style="23" customWidth="1"/>
    <col min="4" max="4" width="17.08203125" style="23" customWidth="1"/>
    <col min="5" max="5" width="23" style="23" customWidth="1"/>
    <col min="6" max="6" width="20" style="23" customWidth="1"/>
    <col min="7" max="7" width="12.33203125" style="23" customWidth="1"/>
    <col min="8" max="8" width="13.83203125" style="23" customWidth="1"/>
    <col min="9" max="9" width="74.08203125" style="23" customWidth="1"/>
    <col min="10" max="10" width="9.33203125" style="23" customWidth="1"/>
    <col min="11" max="11" width="9.75" style="23" customWidth="1"/>
    <col min="12" max="12" width="19.08203125" style="23" customWidth="1"/>
    <col min="13" max="13" width="11.75" style="23" customWidth="1"/>
    <col min="14" max="14" width="7.75" style="23" customWidth="1"/>
    <col min="15" max="15" width="13.08203125" style="23" customWidth="1"/>
    <col min="16" max="16" width="16.08203125" style="23" customWidth="1"/>
    <col min="17" max="17" width="2" style="23" customWidth="1"/>
    <col min="18" max="16384" width="8.75" style="23"/>
  </cols>
  <sheetData>
    <row r="1" spans="1:17" ht="7.5" customHeight="1">
      <c r="O1" s="24"/>
      <c r="P1" s="24"/>
    </row>
    <row r="2" spans="1:17" ht="21.65" customHeight="1">
      <c r="A2" s="25" t="s">
        <v>335</v>
      </c>
      <c r="I2" s="797" t="s">
        <v>286</v>
      </c>
      <c r="O2" s="24"/>
      <c r="P2" s="24"/>
    </row>
    <row r="3" spans="1:17" ht="24" customHeight="1">
      <c r="A3" s="26" t="s">
        <v>45</v>
      </c>
      <c r="B3" s="798" t="s">
        <v>505</v>
      </c>
      <c r="C3" s="798"/>
      <c r="D3" s="264" t="s">
        <v>263</v>
      </c>
      <c r="I3" s="797"/>
      <c r="O3" s="24"/>
      <c r="P3" s="24"/>
    </row>
    <row r="4" spans="1:17" ht="28" customHeight="1">
      <c r="A4" s="77" t="s">
        <v>79</v>
      </c>
      <c r="B4" s="799" t="s">
        <v>506</v>
      </c>
      <c r="C4" s="800"/>
      <c r="I4" s="97"/>
      <c r="J4" s="28"/>
      <c r="P4" s="27"/>
    </row>
    <row r="5" spans="1:17" ht="22.5" customHeight="1">
      <c r="A5" s="30" t="s">
        <v>287</v>
      </c>
      <c r="B5" s="801">
        <f>VLOOKUP(B4,'厂贴车型明细&amp;贷款金额说明'!C:D,2,0)</f>
        <v>369900</v>
      </c>
      <c r="C5" s="801"/>
      <c r="D5" s="31"/>
      <c r="F5" s="802" t="s">
        <v>483</v>
      </c>
      <c r="G5" s="802"/>
      <c r="H5" s="802"/>
      <c r="I5" s="802"/>
      <c r="J5" s="32"/>
      <c r="N5" s="34"/>
      <c r="P5" s="27"/>
    </row>
    <row r="6" spans="1:17" ht="22.75" customHeight="1">
      <c r="A6" s="30" t="s">
        <v>288</v>
      </c>
      <c r="B6" s="798">
        <v>200000</v>
      </c>
      <c r="C6" s="798"/>
      <c r="D6" s="35"/>
      <c r="F6" s="802"/>
      <c r="G6" s="802"/>
      <c r="H6" s="802"/>
      <c r="I6" s="802"/>
      <c r="J6" s="36"/>
      <c r="N6" s="34"/>
    </row>
    <row r="7" spans="1:17" ht="22.75" hidden="1" customHeight="1">
      <c r="A7" s="30"/>
      <c r="B7" s="805">
        <v>0</v>
      </c>
      <c r="C7" s="805"/>
      <c r="D7" s="27"/>
      <c r="E7" s="39"/>
      <c r="F7" s="802"/>
      <c r="G7" s="802"/>
      <c r="H7" s="802"/>
      <c r="I7" s="802"/>
      <c r="J7" s="32"/>
      <c r="N7" s="41"/>
    </row>
    <row r="8" spans="1:17" ht="22.75" customHeight="1">
      <c r="A8" s="42" t="s">
        <v>49</v>
      </c>
      <c r="B8" s="805">
        <f>IF((B6+B7)&lt;=B5*115%,(B6+B7),"总价超限,请调整")</f>
        <v>200000</v>
      </c>
      <c r="C8" s="805"/>
      <c r="D8" s="43"/>
      <c r="E8" s="44"/>
      <c r="F8" s="802"/>
      <c r="G8" s="802"/>
      <c r="H8" s="802"/>
      <c r="I8" s="802"/>
    </row>
    <row r="9" spans="1:17" s="24" customFormat="1" ht="29.15" customHeight="1">
      <c r="A9" s="45" t="s">
        <v>388</v>
      </c>
      <c r="B9" s="806">
        <f>VLOOKUP(B4,'参数-车系车型 利率'!B19:Q32,16,0)</f>
        <v>80000</v>
      </c>
      <c r="C9" s="806"/>
      <c r="E9" s="91"/>
      <c r="F9" s="802"/>
      <c r="G9" s="802"/>
      <c r="H9" s="802"/>
      <c r="I9" s="802"/>
      <c r="J9" s="46"/>
      <c r="K9" s="23"/>
      <c r="L9" s="23"/>
      <c r="M9" s="23"/>
    </row>
    <row r="10" spans="1:17" ht="4" customHeight="1">
      <c r="F10" s="802"/>
      <c r="G10" s="802"/>
      <c r="H10" s="802"/>
      <c r="I10" s="802"/>
      <c r="J10" s="39"/>
      <c r="K10" s="39"/>
      <c r="L10" s="28"/>
      <c r="M10" s="28"/>
    </row>
    <row r="11" spans="1:17" ht="19" hidden="1" customHeight="1">
      <c r="A11" s="47"/>
      <c r="B11" s="801"/>
      <c r="C11" s="801"/>
      <c r="D11" s="803" t="s">
        <v>130</v>
      </c>
      <c r="E11" s="804"/>
      <c r="F11" s="802"/>
      <c r="G11" s="802"/>
      <c r="H11" s="802"/>
      <c r="I11" s="802"/>
      <c r="J11" s="49"/>
      <c r="K11" s="49"/>
      <c r="L11" s="251"/>
      <c r="M11" s="28"/>
    </row>
    <row r="12" spans="1:17" ht="16.5" customHeight="1">
      <c r="Q12" s="51" t="s">
        <v>56</v>
      </c>
    </row>
    <row r="13" spans="1:17" ht="22.5" customHeight="1" thickBot="1">
      <c r="A13" s="52" t="s">
        <v>57</v>
      </c>
      <c r="B13" s="53"/>
      <c r="C13" s="54"/>
      <c r="D13" s="92"/>
    </row>
    <row r="14" spans="1:17" ht="31.5" customHeight="1" thickTop="1">
      <c r="A14" s="407" t="s">
        <v>361</v>
      </c>
      <c r="B14" s="409" t="s">
        <v>60</v>
      </c>
      <c r="C14" s="408" t="s">
        <v>59</v>
      </c>
      <c r="D14" s="342" t="s">
        <v>553</v>
      </c>
      <c r="E14" s="401">
        <v>0.2</v>
      </c>
      <c r="F14" s="264"/>
      <c r="G14" s="271"/>
      <c r="H14" s="264"/>
    </row>
    <row r="15" spans="1:17" ht="31.5" customHeight="1">
      <c r="A15" s="783" t="s">
        <v>395</v>
      </c>
      <c r="B15" s="436">
        <f>C15/B6</f>
        <v>0.6</v>
      </c>
      <c r="C15" s="435">
        <f>B6-B9</f>
        <v>120000</v>
      </c>
      <c r="D15" s="367"/>
      <c r="E15" s="310"/>
      <c r="F15" s="264"/>
      <c r="G15" s="271"/>
      <c r="H15" s="264"/>
      <c r="M15" s="60" t="s">
        <v>379</v>
      </c>
    </row>
    <row r="16" spans="1:17" ht="2.5" customHeight="1">
      <c r="A16" s="783"/>
      <c r="B16" s="271"/>
      <c r="C16" s="271"/>
      <c r="D16" s="271"/>
      <c r="E16" s="271"/>
      <c r="F16" s="271"/>
      <c r="G16" s="271"/>
      <c r="H16" s="271"/>
      <c r="L16" s="402" t="s">
        <v>332</v>
      </c>
    </row>
    <row r="17" spans="1:15" ht="31.5" customHeight="1">
      <c r="A17" s="783"/>
      <c r="B17" s="305" t="s">
        <v>61</v>
      </c>
      <c r="C17" s="314" t="s">
        <v>234</v>
      </c>
      <c r="D17" s="403" t="s">
        <v>344</v>
      </c>
      <c r="E17" s="316" t="s">
        <v>276</v>
      </c>
      <c r="F17" s="316" t="s">
        <v>277</v>
      </c>
      <c r="G17" s="563" t="s">
        <v>471</v>
      </c>
      <c r="H17" s="581" t="s">
        <v>426</v>
      </c>
      <c r="I17" s="785" t="s">
        <v>440</v>
      </c>
      <c r="J17" s="786"/>
      <c r="L17" s="65" t="s">
        <v>67</v>
      </c>
      <c r="M17" s="787">
        <v>12</v>
      </c>
      <c r="N17" s="787"/>
      <c r="O17" s="442" t="s">
        <v>369</v>
      </c>
    </row>
    <row r="18" spans="1:15" ht="33" customHeight="1">
      <c r="A18" s="783"/>
      <c r="B18" s="301" t="s">
        <v>333</v>
      </c>
      <c r="C18" s="404">
        <f>ROUNDUP(PMT(0%/12,12,-B9*(VLOOKUP(B4,'参数-车系车型 利率'!B19:S37,18,0))),2)</f>
        <v>298.67</v>
      </c>
      <c r="D18" s="454">
        <v>0</v>
      </c>
      <c r="E18" s="405">
        <v>0</v>
      </c>
      <c r="F18" s="335">
        <v>0</v>
      </c>
      <c r="G18" s="788">
        <f>VLOOKUP(B4,'参数-车系车型 利率'!B19:T37,19,0)</f>
        <v>5.2299999999999999E-2</v>
      </c>
      <c r="H18" s="790">
        <f>VLOOKUP(B4,'参数-车系车型 利率'!B19:T37,17,0)</f>
        <v>6254.8</v>
      </c>
      <c r="I18" s="791" t="str">
        <f>VLOOKUP(B4,'参数-方案配置'!C4:L24,10,0)</f>
        <v>个人申请：厂贴_常规贴息_60期8万定额贷_1+4阶梯贷</v>
      </c>
      <c r="J18" s="792"/>
      <c r="L18" s="65" t="s">
        <v>69</v>
      </c>
      <c r="M18" s="795">
        <f>IF(M17&lt;13,B9-C18*M17,B9-(C19*(M17-12)+C18*12-M20))</f>
        <v>76415.960000000006</v>
      </c>
      <c r="N18" s="795"/>
      <c r="O18" s="68"/>
    </row>
    <row r="19" spans="1:15" ht="33" customHeight="1">
      <c r="A19" s="784"/>
      <c r="B19" s="301" t="s">
        <v>334</v>
      </c>
      <c r="C19" s="283">
        <f>ROUNDUP(PMT(VLOOKUP(B4,'参数-车系车型 利率'!B19:P37,15,0)/12,48,-(B9-C18*12)),2)</f>
        <v>1864.82</v>
      </c>
      <c r="D19" s="455">
        <f>C19*48-(B9-C18*12)</f>
        <v>13095.399999999994</v>
      </c>
      <c r="E19" s="406">
        <f>RATE(48,-C19,B9-(C18*12))*12</f>
        <v>7.9800116057391221E-2</v>
      </c>
      <c r="F19" s="406">
        <f>D19/(B9-C18*12)/4</f>
        <v>4.2842489971990125E-2</v>
      </c>
      <c r="G19" s="789"/>
      <c r="H19" s="790"/>
      <c r="I19" s="793"/>
      <c r="J19" s="794"/>
      <c r="L19" s="69" t="s">
        <v>70</v>
      </c>
      <c r="M19" s="796">
        <f>D19-M20</f>
        <v>13095.399999999994</v>
      </c>
      <c r="N19" s="796"/>
      <c r="O19" s="68"/>
    </row>
    <row r="20" spans="1:15" ht="31.5" customHeight="1">
      <c r="I20" s="781" t="s">
        <v>435</v>
      </c>
      <c r="J20" s="781"/>
      <c r="K20" s="71" t="s">
        <v>71</v>
      </c>
      <c r="L20" s="434"/>
      <c r="M20" s="782">
        <f>IF(M17&lt;13,0,(B9*(E19/12)-C19)*((1+(E19/12))^(M17-12)-1)/(E19/12)+(C19)*(M17-12))</f>
        <v>0</v>
      </c>
      <c r="N20" s="782"/>
    </row>
    <row r="21" spans="1:15">
      <c r="E21" s="411"/>
    </row>
  </sheetData>
  <sheetProtection algorithmName="SHA-512" hashValue="IyR8JdK2CezuLpOldJ6Xc+VAyEL2W8/2YdDFQH/s00h0fHRmGZS8IXmJ9FA9a5EyPtvq22klvu6m7Y+qFNKTJw==" saltValue="ISsUStuBISxYAMqu0p4s3g==" spinCount="100000" sheet="1" objects="1" scenarios="1"/>
  <mergeCells count="21">
    <mergeCell ref="I2:I3"/>
    <mergeCell ref="B3:C3"/>
    <mergeCell ref="B4:C4"/>
    <mergeCell ref="B5:C5"/>
    <mergeCell ref="B6:C6"/>
    <mergeCell ref="F5:I11"/>
    <mergeCell ref="D11:E11"/>
    <mergeCell ref="B7:C7"/>
    <mergeCell ref="B8:C8"/>
    <mergeCell ref="B9:C9"/>
    <mergeCell ref="B11:C11"/>
    <mergeCell ref="I20:J20"/>
    <mergeCell ref="M20:N20"/>
    <mergeCell ref="A15:A19"/>
    <mergeCell ref="I17:J17"/>
    <mergeCell ref="M17:N17"/>
    <mergeCell ref="G18:G19"/>
    <mergeCell ref="H18:H19"/>
    <mergeCell ref="I18:J19"/>
    <mergeCell ref="M18:N18"/>
    <mergeCell ref="M19:N19"/>
  </mergeCells>
  <phoneticPr fontId="1" type="noConversion"/>
  <conditionalFormatting sqref="C15">
    <cfRule type="expression" dxfId="401" priority="14">
      <formula>#REF!&lt;20%</formula>
    </cfRule>
  </conditionalFormatting>
  <conditionalFormatting sqref="D3">
    <cfRule type="expression" dxfId="400" priority="18">
      <formula>$B$3="新君威"</formula>
    </cfRule>
  </conditionalFormatting>
  <conditionalFormatting sqref="D11">
    <cfRule type="expression" dxfId="399" priority="22">
      <formula>$B$11&gt;0</formula>
    </cfRule>
  </conditionalFormatting>
  <conditionalFormatting sqref="D14:E14">
    <cfRule type="expression" dxfId="398" priority="12">
      <formula>$B$15&lt;$E$14</formula>
    </cfRule>
  </conditionalFormatting>
  <conditionalFormatting sqref="I18">
    <cfRule type="containsText" dxfId="397" priority="13" operator="containsText" text="无方案">
      <formula>NOT(ISERROR(SEARCH("无方案",I18)))</formula>
    </cfRule>
  </conditionalFormatting>
  <dataValidations count="3">
    <dataValidation type="list" allowBlank="1" showInputMessage="1" showErrorMessage="1" sqref="L2" xr:uid="{00000000-0002-0000-0200-000000000000}">
      <formula1>"20%,15%,30%,25%"</formula1>
    </dataValidation>
    <dataValidation type="list" allowBlank="1" showInputMessage="1" showErrorMessage="1" sqref="B4" xr:uid="{00000000-0002-0000-0200-000001000000}">
      <formula1>INDIRECT($B$3)</formula1>
    </dataValidation>
    <dataValidation type="list" allowBlank="1" showInputMessage="1" showErrorMessage="1" sqref="B3:C3" xr:uid="{00000000-0002-0000-0200-000002000000}">
      <formula1>阶梯贷车系参数</formula1>
    </dataValidation>
  </dataValidations>
  <hyperlinks>
    <hyperlink ref="I2" location="试算路径!A1" display="返回" xr:uid="{00000000-0004-0000-0200-000000000000}"/>
    <hyperlink ref="I2:I3" location="试算路径及方案简述!A1" display="返回" xr:uid="{00000000-0004-0000-0200-000001000000}"/>
  </hyperlinks>
  <pageMargins left="0.7" right="0.7" top="0.75" bottom="0.75" header="0.3" footer="0.3"/>
  <pageSetup orientation="portrait" horizontalDpi="300" verticalDpi="0" copies="0"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391548-F758-4CE7-846B-E6D9A3415294}">
  <sheetPr>
    <tabColor rgb="FFFFC000"/>
  </sheetPr>
  <dimension ref="A1:U28"/>
  <sheetViews>
    <sheetView zoomScale="60" zoomScaleNormal="60" workbookViewId="0">
      <pane ySplit="11" topLeftCell="A23" activePane="bottomLeft" state="frozen"/>
      <selection activeCell="E20" sqref="E20"/>
      <selection pane="bottomLeft" activeCell="D10" sqref="D10"/>
    </sheetView>
  </sheetViews>
  <sheetFormatPr defaultColWidth="8.75" defaultRowHeight="16.5"/>
  <cols>
    <col min="1" max="1" width="21.9140625" style="23" customWidth="1"/>
    <col min="2" max="2" width="17.33203125" style="23" customWidth="1"/>
    <col min="3" max="3" width="23.33203125" style="23" customWidth="1"/>
    <col min="4" max="4" width="18.9140625" style="23" customWidth="1"/>
    <col min="5" max="5" width="23" style="23" customWidth="1"/>
    <col min="6" max="6" width="20" style="23" customWidth="1"/>
    <col min="7" max="7" width="17.33203125" style="23" customWidth="1"/>
    <col min="8" max="8" width="20.08203125" style="23" customWidth="1"/>
    <col min="9" max="10" width="17.08203125" style="23" hidden="1" customWidth="1"/>
    <col min="11" max="11" width="17.75" style="23" customWidth="1"/>
    <col min="12" max="12" width="16.75" style="23" customWidth="1"/>
    <col min="13" max="13" width="73.08203125" style="23" customWidth="1"/>
    <col min="14" max="14" width="2.33203125" style="23" customWidth="1"/>
    <col min="15" max="15" width="23.08203125" style="23" customWidth="1"/>
    <col min="16" max="16" width="19.08203125" style="23" customWidth="1"/>
    <col min="17" max="17" width="11.75" style="23" customWidth="1"/>
    <col min="18" max="18" width="13.4140625" style="23" customWidth="1"/>
    <col min="19" max="19" width="7.75" style="23" customWidth="1"/>
    <col min="20" max="20" width="16.08203125" style="23" customWidth="1"/>
    <col min="21" max="21" width="2" style="23" customWidth="1"/>
    <col min="22" max="16384" width="8.75" style="23"/>
  </cols>
  <sheetData>
    <row r="1" spans="1:21" ht="7.5" customHeight="1">
      <c r="S1" s="24"/>
      <c r="T1" s="24"/>
    </row>
    <row r="2" spans="1:21" ht="21.65" customHeight="1">
      <c r="A2" s="25" t="s">
        <v>335</v>
      </c>
      <c r="E2" s="25" t="s">
        <v>584</v>
      </c>
      <c r="M2" s="810" t="s">
        <v>286</v>
      </c>
      <c r="S2" s="24"/>
      <c r="T2" s="24"/>
    </row>
    <row r="3" spans="1:21" ht="30" customHeight="1">
      <c r="A3" s="26" t="s">
        <v>45</v>
      </c>
      <c r="B3" s="811" t="s">
        <v>568</v>
      </c>
      <c r="C3" s="811"/>
      <c r="D3" s="264"/>
      <c r="E3" s="390" t="s">
        <v>510</v>
      </c>
      <c r="F3" s="662">
        <v>0</v>
      </c>
      <c r="M3" s="810"/>
      <c r="S3" s="24"/>
      <c r="T3" s="24"/>
    </row>
    <row r="4" spans="1:21" ht="28" customHeight="1">
      <c r="A4" s="77" t="s">
        <v>79</v>
      </c>
      <c r="B4" s="799" t="s">
        <v>613</v>
      </c>
      <c r="C4" s="800"/>
      <c r="E4" s="30" t="s">
        <v>511</v>
      </c>
      <c r="F4" s="662">
        <v>0</v>
      </c>
      <c r="H4" s="809" t="s">
        <v>602</v>
      </c>
      <c r="I4" s="809"/>
      <c r="J4" s="809"/>
      <c r="K4" s="809"/>
      <c r="L4" s="809"/>
      <c r="M4" s="809"/>
      <c r="N4" s="28"/>
      <c r="T4" s="27"/>
    </row>
    <row r="5" spans="1:21" ht="22.5" customHeight="1">
      <c r="A5" s="30" t="s">
        <v>287</v>
      </c>
      <c r="B5" s="801">
        <f>VLOOKUP(B4,'厂贴车型明细&amp;贷款金额说明'!C:D,2,0)</f>
        <v>499900</v>
      </c>
      <c r="C5" s="801"/>
      <c r="D5" s="31"/>
      <c r="E5" s="58" t="s">
        <v>512</v>
      </c>
      <c r="F5" s="669" t="e">
        <f>(F3-F4)/F3</f>
        <v>#DIV/0!</v>
      </c>
      <c r="H5" s="809"/>
      <c r="I5" s="809"/>
      <c r="J5" s="809"/>
      <c r="K5" s="809"/>
      <c r="L5" s="809"/>
      <c r="M5" s="809"/>
      <c r="N5" s="32"/>
      <c r="T5" s="27"/>
    </row>
    <row r="6" spans="1:21" ht="27.5" customHeight="1">
      <c r="A6" s="30" t="s">
        <v>288</v>
      </c>
      <c r="B6" s="798">
        <v>469900</v>
      </c>
      <c r="C6" s="798"/>
      <c r="D6" s="35"/>
      <c r="E6" s="812" t="s">
        <v>513</v>
      </c>
      <c r="F6" s="812"/>
      <c r="H6" s="809"/>
      <c r="I6" s="809"/>
      <c r="J6" s="809"/>
      <c r="K6" s="809"/>
      <c r="L6" s="809"/>
      <c r="M6" s="809"/>
      <c r="N6" s="36"/>
    </row>
    <row r="7" spans="1:21" ht="29" customHeight="1">
      <c r="A7" s="45" t="s">
        <v>507</v>
      </c>
      <c r="B7" s="813">
        <v>331800</v>
      </c>
      <c r="C7" s="813"/>
      <c r="D7" s="43"/>
      <c r="E7" s="45" t="s">
        <v>514</v>
      </c>
      <c r="F7" s="609">
        <f>B6+F3</f>
        <v>469900</v>
      </c>
      <c r="H7" s="809"/>
      <c r="I7" s="809"/>
      <c r="J7" s="809"/>
      <c r="K7" s="809"/>
      <c r="L7" s="809"/>
      <c r="M7" s="809"/>
    </row>
    <row r="8" spans="1:21" s="24" customFormat="1" ht="22.4" customHeight="1">
      <c r="A8" s="58" t="s">
        <v>508</v>
      </c>
      <c r="B8" s="669">
        <f>(B6-B7)/B6</f>
        <v>0.29389231751436473</v>
      </c>
      <c r="C8" s="342" t="s">
        <v>556</v>
      </c>
      <c r="D8" s="612">
        <f>VLOOKUP($B$3,'参数-车系车型 利率'!M:N,2,0)</f>
        <v>0.15</v>
      </c>
      <c r="E8" s="614" t="s">
        <v>521</v>
      </c>
      <c r="F8" s="668">
        <f>B5*115%</f>
        <v>574885</v>
      </c>
      <c r="G8" s="23"/>
      <c r="H8" s="809"/>
      <c r="I8" s="809"/>
      <c r="J8" s="809"/>
      <c r="K8" s="809"/>
      <c r="L8" s="809"/>
      <c r="M8" s="809"/>
      <c r="N8" s="46"/>
      <c r="O8" s="23"/>
      <c r="P8" s="23"/>
      <c r="Q8" s="23"/>
      <c r="R8" s="23"/>
    </row>
    <row r="9" spans="1:21" ht="33" customHeight="1">
      <c r="A9" s="47" t="s">
        <v>577</v>
      </c>
      <c r="B9" s="662">
        <v>0</v>
      </c>
      <c r="C9" s="807" t="s">
        <v>130</v>
      </c>
      <c r="D9" s="808"/>
      <c r="F9" s="671"/>
      <c r="G9" s="671"/>
      <c r="H9" s="809"/>
      <c r="I9" s="809"/>
      <c r="J9" s="809"/>
      <c r="K9" s="809"/>
      <c r="L9" s="809"/>
      <c r="M9" s="809"/>
      <c r="N9" s="49"/>
    </row>
    <row r="10" spans="1:21" ht="16.5" customHeight="1">
      <c r="B10" s="310" t="s">
        <v>518</v>
      </c>
      <c r="E10" s="493"/>
      <c r="U10" s="51" t="s">
        <v>56</v>
      </c>
    </row>
    <row r="11" spans="1:21" ht="22.5" customHeight="1" thickBot="1">
      <c r="A11" s="52" t="s">
        <v>57</v>
      </c>
      <c r="B11" s="53"/>
      <c r="C11" s="54"/>
      <c r="D11" s="611"/>
    </row>
    <row r="12" spans="1:21" ht="32" customHeight="1" thickTop="1">
      <c r="A12" s="407" t="s">
        <v>578</v>
      </c>
      <c r="B12" s="681" t="s">
        <v>589</v>
      </c>
      <c r="C12" s="440" t="s">
        <v>516</v>
      </c>
      <c r="D12" s="309" t="s">
        <v>517</v>
      </c>
      <c r="E12" s="344"/>
      <c r="H12" s="271"/>
      <c r="I12" s="311"/>
      <c r="J12" s="264"/>
      <c r="K12" s="367"/>
      <c r="L12" s="310"/>
      <c r="M12" s="27"/>
      <c r="N12" s="27"/>
    </row>
    <row r="13" spans="1:21" ht="22" customHeight="1">
      <c r="A13" s="824" t="s">
        <v>371</v>
      </c>
      <c r="B13" s="437">
        <f>B7+F4</f>
        <v>331800</v>
      </c>
      <c r="C13" s="437">
        <f>F7-B7-F4</f>
        <v>138100</v>
      </c>
      <c r="D13" s="362">
        <f>C13/F7</f>
        <v>0.29389231751436473</v>
      </c>
      <c r="E13" s="323"/>
      <c r="F13" s="438"/>
      <c r="G13" s="325"/>
      <c r="H13" s="337"/>
      <c r="I13" s="438"/>
      <c r="J13" s="325"/>
      <c r="K13" s="325"/>
      <c r="L13" s="438"/>
      <c r="M13" s="92"/>
      <c r="N13" s="27"/>
    </row>
    <row r="14" spans="1:21" ht="2.5" customHeight="1">
      <c r="A14" s="783"/>
      <c r="B14" s="425"/>
      <c r="C14" s="439"/>
      <c r="D14" s="339"/>
      <c r="E14" s="339"/>
      <c r="F14" s="339"/>
      <c r="G14" s="339"/>
      <c r="H14" s="339"/>
      <c r="I14" s="339"/>
      <c r="J14" s="339"/>
      <c r="K14" s="339"/>
      <c r="L14" s="339"/>
      <c r="M14" s="426"/>
    </row>
    <row r="15" spans="1:21" ht="37" customHeight="1">
      <c r="A15" s="783"/>
      <c r="B15" s="77" t="s">
        <v>61</v>
      </c>
      <c r="C15" s="314" t="s">
        <v>234</v>
      </c>
      <c r="D15" s="316" t="s">
        <v>344</v>
      </c>
      <c r="E15" s="316" t="s">
        <v>276</v>
      </c>
      <c r="F15" s="316" t="s">
        <v>277</v>
      </c>
      <c r="G15" s="88" t="s">
        <v>306</v>
      </c>
      <c r="H15" s="462" t="s">
        <v>64</v>
      </c>
      <c r="I15" s="317" t="s">
        <v>266</v>
      </c>
      <c r="J15" s="317" t="s">
        <v>265</v>
      </c>
      <c r="K15" s="494" t="s">
        <v>590</v>
      </c>
      <c r="L15" s="494" t="s">
        <v>519</v>
      </c>
      <c r="M15" s="58" t="s">
        <v>440</v>
      </c>
      <c r="N15" s="59"/>
      <c r="O15" s="60"/>
      <c r="P15" s="60" t="s">
        <v>378</v>
      </c>
    </row>
    <row r="16" spans="1:21" ht="31" customHeight="1">
      <c r="A16" s="783"/>
      <c r="B16" s="427" t="s">
        <v>38</v>
      </c>
      <c r="C16" s="282">
        <f>ROUNDUP(PMT(VLOOKUP(B4,'参数-车系车型 利率'!B:I,2,0)/12,60,-$B$7)-(H16)/60+(PMT(10%/12,60,-F4)-B9/60),2)</f>
        <v>6278.95</v>
      </c>
      <c r="D16" s="561">
        <f>C16*60-B7-F4</f>
        <v>44937</v>
      </c>
      <c r="E16" s="335">
        <f>RATE(60,-C16,(B7+F4))*12</f>
        <v>5.1148570675539129E-2</v>
      </c>
      <c r="F16" s="335">
        <f>D16/(B7+F4)/5</f>
        <v>2.7086799276672697E-2</v>
      </c>
      <c r="G16" s="335">
        <f>D16/(B7+F4)</f>
        <v>0.13543399638336348</v>
      </c>
      <c r="H16" s="664">
        <f>MIN($I$16,J16)</f>
        <v>8048.3899999999994</v>
      </c>
      <c r="I16" s="819">
        <f>VLOOKUP($B$4,'厂贴车型明细&amp;贷款金额说明'!C:E,3,0)</f>
        <v>8048.3899999999994</v>
      </c>
      <c r="J16" s="666">
        <f>$B$7*VLOOKUP(B16,'参数-车系车型 利率'!$B$78:$C$83,2,0)</f>
        <v>52991.777999999998</v>
      </c>
      <c r="K16" s="321">
        <f>ROUNDUP(I16/VLOOKUP(B16,'参数-车系车型 利率'!B78:C83,2,0),0)-1</f>
        <v>50393</v>
      </c>
      <c r="L16" s="428">
        <f>VLOOKUP($B$4,'厂贴车型明细&amp;贷款金额说明'!C:K,9,0)</f>
        <v>160000</v>
      </c>
      <c r="M16" s="816" t="str">
        <f>VLOOKUP(B4,'参数-方案配置'!C:E,2,0)</f>
        <v xml:space="preserve">个人申请：厂贴_5.99贴息 新优速贷/个体工商户升级 36-60期 </v>
      </c>
      <c r="N16" s="59"/>
      <c r="O16" s="65" t="s">
        <v>67</v>
      </c>
      <c r="P16" s="787">
        <v>24</v>
      </c>
      <c r="Q16" s="787"/>
      <c r="R16" s="456" t="s">
        <v>370</v>
      </c>
      <c r="S16" s="66"/>
      <c r="T16" s="67"/>
    </row>
    <row r="17" spans="1:20" ht="31" customHeight="1">
      <c r="A17" s="783"/>
      <c r="B17" s="427" t="s">
        <v>39</v>
      </c>
      <c r="C17" s="282">
        <f>ROUNDUP(PMT(VLOOKUP(B4,'参数-车系车型 利率'!B:I,3,0)/12,48,-$B$7)-(H17)/48+(PMT(10%/12,48,-F4)-B9/48),2)</f>
        <v>7623.14</v>
      </c>
      <c r="D17" s="561">
        <f>C17*48-B7-F4</f>
        <v>34110.72000000003</v>
      </c>
      <c r="E17" s="335">
        <f>RATE(48,-C17,(B7+F4))*12</f>
        <v>4.8802898537628883E-2</v>
      </c>
      <c r="F17" s="335">
        <f>D17/(B7+F4)/4</f>
        <v>2.5701265822784834E-2</v>
      </c>
      <c r="G17" s="335">
        <f>D17/(B7+F4)</f>
        <v>0.10280506329113934</v>
      </c>
      <c r="H17" s="664">
        <f>MIN($I$16,J17)</f>
        <v>8048.3899999999994</v>
      </c>
      <c r="I17" s="820"/>
      <c r="J17" s="666">
        <f>$B$7*VLOOKUP(B17,'参数-车系车型 利率'!$B$78:$C$83,2,0)</f>
        <v>42166.9689</v>
      </c>
      <c r="K17" s="321">
        <f>ROUNDUP(I16/VLOOKUP(B17,'参数-车系车型 利率'!B78:C83,2,0),0)-1</f>
        <v>63330</v>
      </c>
      <c r="L17" s="428">
        <f>VLOOKUP($B$4,'厂贴车型明细&amp;贷款金额说明'!C:K,8,0)</f>
        <v>160000</v>
      </c>
      <c r="M17" s="817"/>
      <c r="N17" s="59"/>
      <c r="O17" s="65" t="s">
        <v>69</v>
      </c>
      <c r="P17" s="795">
        <f>B13-(C16*P16-P19)</f>
        <v>209141.52881428035</v>
      </c>
      <c r="Q17" s="795"/>
      <c r="R17" s="68"/>
      <c r="S17" s="66"/>
      <c r="T17" s="67"/>
    </row>
    <row r="18" spans="1:20" ht="31" customHeight="1">
      <c r="A18" s="784"/>
      <c r="B18" s="427" t="s">
        <v>40</v>
      </c>
      <c r="C18" s="283">
        <f>ROUNDUP(PMT(VLOOKUP(B4,'参数-车系车型 利率'!B:I,4,0)/12,36,-$B$7)-(H18)/36+(PMT(10%/12,36,-F4)-B9/36),2)</f>
        <v>9868.93</v>
      </c>
      <c r="D18" s="562">
        <f>C18*36-B7-F4</f>
        <v>23481.479999999981</v>
      </c>
      <c r="E18" s="335">
        <f>RATE(36,-C18,(B7+F4))*12</f>
        <v>4.4925847149949044E-2</v>
      </c>
      <c r="F18" s="335">
        <f>D18/(B7+F4)/3</f>
        <v>2.3589993972272433E-2</v>
      </c>
      <c r="G18" s="335">
        <f>D18/(B7+F4)</f>
        <v>7.0769981916817298E-2</v>
      </c>
      <c r="H18" s="664">
        <f>MIN($I$16,J18)</f>
        <v>8048.3899999999994</v>
      </c>
      <c r="I18" s="820"/>
      <c r="J18" s="666">
        <f>$B$7*VLOOKUP(B18,'参数-车系车型 利率'!$B$78:$C$83,2,0)</f>
        <v>31531.979262000001</v>
      </c>
      <c r="K18" s="321">
        <f>ROUNDUP(I16/VLOOKUP(B18,'参数-车系车型 利率'!B78:C83,2,0),0)-1</f>
        <v>84690</v>
      </c>
      <c r="L18" s="428">
        <f>VLOOKUP($B$4,'厂贴车型明细&amp;贷款金额说明'!C:K,7,0)</f>
        <v>160000</v>
      </c>
      <c r="M18" s="818"/>
      <c r="N18" s="59"/>
      <c r="O18" s="69" t="s">
        <v>70</v>
      </c>
      <c r="P18" s="822">
        <f>D16-P19</f>
        <v>16900.671185719664</v>
      </c>
      <c r="Q18" s="822"/>
      <c r="R18" s="68"/>
      <c r="S18" s="66"/>
      <c r="T18" s="67"/>
    </row>
    <row r="19" spans="1:20" s="27" customFormat="1" ht="40" hidden="1" customHeight="1">
      <c r="A19" s="685"/>
      <c r="B19" s="686" t="s">
        <v>41</v>
      </c>
      <c r="C19" s="687">
        <f>ROUNDUP(PMT(VLOOKUP(B4,'参数-车系车型 利率'!B:I,5,0)/12,24,-$B$7)-H19/24,2)</f>
        <v>14259.7</v>
      </c>
      <c r="D19" s="688">
        <f>C19*24-B7-F4</f>
        <v>10432.800000000047</v>
      </c>
      <c r="E19" s="689">
        <f>RATE(24,-C19,(B7+F4))*12</f>
        <v>2.9900100206541151E-2</v>
      </c>
      <c r="F19" s="689">
        <f>D19/(B7+F4)/2</f>
        <v>1.5721518987341844E-2</v>
      </c>
      <c r="G19" s="689">
        <f>D19/(B7+F4)</f>
        <v>3.1443037974683688E-2</v>
      </c>
      <c r="H19" s="690">
        <f>B7*0.032144</f>
        <v>10665.379199999999</v>
      </c>
      <c r="I19" s="820"/>
      <c r="J19" s="690">
        <f>$B$7*VLOOKUP(B19,'参数-车系车型 利率'!$B$78:$C$83,2,0)</f>
        <v>21098.830200000004</v>
      </c>
      <c r="K19" s="321">
        <f>IF(B4="至境世家尊享版 新能源",220000,235000)</f>
        <v>235000</v>
      </c>
      <c r="L19" s="690">
        <f>VLOOKUP($B$4,'厂贴车型明细&amp;贷款金额说明'!C:K,6,0)</f>
        <v>250300</v>
      </c>
      <c r="M19" s="682" t="s">
        <v>591</v>
      </c>
      <c r="N19" s="683"/>
      <c r="O19" s="684" t="s">
        <v>71</v>
      </c>
      <c r="P19" s="823">
        <f>(B13*(E16/12)-C16)*((1+(E16/12))^(P16)-1)/(E16/12)+(C16)*P16</f>
        <v>28036.328814280336</v>
      </c>
      <c r="Q19" s="823"/>
      <c r="R19" s="72"/>
      <c r="S19" s="72"/>
      <c r="T19" s="72"/>
    </row>
    <row r="20" spans="1:20" s="27" customFormat="1" ht="40" hidden="1" customHeight="1">
      <c r="A20" s="685"/>
      <c r="B20" s="686" t="s">
        <v>42</v>
      </c>
      <c r="C20" s="687">
        <f>ROUNDUP(PMT(VLOOKUP(B4,'参数-车系车型 利率'!B:I,6,0)/12,18,-$B$7)-H20/18,2)</f>
        <v>18872.73</v>
      </c>
      <c r="D20" s="688">
        <f>C20*18-B7-F4</f>
        <v>7909.140000000014</v>
      </c>
      <c r="E20" s="689">
        <f>RATE(18,-C20,(B7+F4))*12</f>
        <v>2.9899179304422506E-2</v>
      </c>
      <c r="F20" s="689">
        <f>D20/(B7+F4)/1.5</f>
        <v>1.5891380349608224E-2</v>
      </c>
      <c r="G20" s="689">
        <f>D20/(B7+F4)</f>
        <v>2.3837070524412338E-2</v>
      </c>
      <c r="H20" s="690">
        <f>B7*0.024253</f>
        <v>8047.1454000000003</v>
      </c>
      <c r="I20" s="821"/>
      <c r="J20" s="690">
        <f>$B$7*VLOOKUP(B20,'参数-车系车型 利率'!$B$78:$C$83,2,0)</f>
        <v>15957.50646297114</v>
      </c>
      <c r="K20" s="321">
        <f>IF(B4="至境世家尊享版 新能源",291000,311000)</f>
        <v>311000</v>
      </c>
      <c r="L20" s="690">
        <f>VLOOKUP($B$4,'厂贴车型明细&amp;贷款金额说明'!C:K,5,0)</f>
        <v>331800</v>
      </c>
      <c r="M20" s="682" t="s">
        <v>592</v>
      </c>
      <c r="N20" s="683"/>
      <c r="O20" s="72"/>
      <c r="P20" s="72"/>
      <c r="Q20" s="72"/>
      <c r="R20" s="72"/>
      <c r="S20" s="72"/>
      <c r="T20" s="72"/>
    </row>
    <row r="23" spans="1:20" ht="27" customHeight="1">
      <c r="A23" s="407" t="s">
        <v>381</v>
      </c>
      <c r="B23" s="610" t="s">
        <v>515</v>
      </c>
      <c r="C23" s="440" t="s">
        <v>516</v>
      </c>
      <c r="D23" s="316" t="s">
        <v>517</v>
      </c>
      <c r="E23" s="344"/>
      <c r="H23" s="271"/>
      <c r="I23" s="311"/>
      <c r="J23" s="264"/>
      <c r="K23" s="367"/>
      <c r="L23" s="310"/>
      <c r="M23" s="27"/>
      <c r="N23" s="27"/>
    </row>
    <row r="24" spans="1:20" ht="22" customHeight="1">
      <c r="A24" s="814" t="s">
        <v>371</v>
      </c>
      <c r="B24" s="437">
        <f>B7+F4</f>
        <v>331800</v>
      </c>
      <c r="C24" s="437">
        <f>F7-B7-F4</f>
        <v>138100</v>
      </c>
      <c r="D24" s="362">
        <f>C24/F7</f>
        <v>0.29389231751436473</v>
      </c>
      <c r="E24" s="323"/>
      <c r="F24" s="438"/>
      <c r="G24" s="325"/>
      <c r="H24" s="337"/>
      <c r="I24" s="438"/>
      <c r="J24" s="325"/>
      <c r="K24" s="325"/>
      <c r="L24" s="438"/>
      <c r="M24" s="92"/>
      <c r="N24" s="27"/>
    </row>
    <row r="25" spans="1:20" ht="2.5" customHeight="1">
      <c r="A25" s="815"/>
      <c r="B25" s="425"/>
      <c r="C25" s="439"/>
      <c r="D25" s="339"/>
      <c r="E25" s="339"/>
      <c r="F25" s="339"/>
      <c r="G25" s="339"/>
      <c r="H25" s="339"/>
      <c r="I25" s="339"/>
      <c r="J25" s="339"/>
      <c r="K25" s="339"/>
      <c r="L25" s="339"/>
      <c r="M25" s="426"/>
    </row>
    <row r="26" spans="1:20" ht="37" customHeight="1">
      <c r="A26" s="815"/>
      <c r="B26" s="77" t="s">
        <v>61</v>
      </c>
      <c r="C26" s="314" t="s">
        <v>234</v>
      </c>
      <c r="D26" s="316" t="s">
        <v>344</v>
      </c>
      <c r="E26" s="316" t="s">
        <v>276</v>
      </c>
      <c r="F26" s="316" t="s">
        <v>277</v>
      </c>
      <c r="G26" s="88" t="s">
        <v>306</v>
      </c>
      <c r="H26" s="462" t="s">
        <v>64</v>
      </c>
      <c r="I26" s="317" t="s">
        <v>266</v>
      </c>
      <c r="J26" s="317" t="s">
        <v>265</v>
      </c>
      <c r="K26" s="494"/>
      <c r="L26" s="494" t="s">
        <v>519</v>
      </c>
      <c r="M26" s="58" t="s">
        <v>440</v>
      </c>
      <c r="N26" s="59"/>
    </row>
    <row r="27" spans="1:20" ht="39.5" customHeight="1">
      <c r="A27" s="815"/>
      <c r="B27" s="427" t="s">
        <v>41</v>
      </c>
      <c r="C27" s="282">
        <f>ROUNDUP(PMT(VLOOKUP(B4,'参数-车系车型 利率'!B:I,5,0)/12,24,-$B$7)-(H27)/24+(PMT(10%/12,24,-F4)-B9/24),2)</f>
        <v>14368.74</v>
      </c>
      <c r="D27" s="561">
        <f>C27*24-B7-F4</f>
        <v>13049.760000000009</v>
      </c>
      <c r="E27" s="335">
        <f>RATE(24,-C27,(B7+F4))*12</f>
        <v>3.731297306714066E-2</v>
      </c>
      <c r="F27" s="335">
        <f>D27/(B7+F4)/2</f>
        <v>1.9665099457504536E-2</v>
      </c>
      <c r="G27" s="335">
        <f>D27/(B7+F4)</f>
        <v>3.9330198915009072E-2</v>
      </c>
      <c r="H27" s="664">
        <f>MIN($I$16,J27)</f>
        <v>8048.3899999999994</v>
      </c>
      <c r="I27" s="665">
        <f>VLOOKUP($B$4,'厂贴车型明细&amp;贷款金额说明'!C:E,3,0)</f>
        <v>8048.3899999999994</v>
      </c>
      <c r="J27" s="666">
        <f>$B$7*VLOOKUP(B27,'参数-车系车型 利率'!$B$78:$C$83,2,0)</f>
        <v>21098.830200000004</v>
      </c>
      <c r="K27" s="321" t="e">
        <f>ROUNDUP(I27/VLOOKUP(B27,'参数-车系车型 利率'!B89:C94,2,0),0)-1</f>
        <v>#N/A</v>
      </c>
      <c r="L27" s="428">
        <f>VLOOKUP($B$4,'厂贴车型明细&amp;贷款金额说明'!C:K,6,0)</f>
        <v>250300</v>
      </c>
      <c r="M27" s="670" t="s">
        <v>579</v>
      </c>
      <c r="N27" s="59"/>
    </row>
    <row r="28" spans="1:20" ht="42.5" customHeight="1">
      <c r="A28" s="815"/>
      <c r="B28" s="77" t="s">
        <v>42</v>
      </c>
      <c r="C28" s="283">
        <f>ROUNDUP(PMT(VLOOKUP(B4,'参数-车系车型 利率'!B:I,6,0)/12,18,-$B$7)-(H28)/18+(PMT(10%/12,18,-F4)-B9/18),2)</f>
        <v>18872.66</v>
      </c>
      <c r="D28" s="562">
        <f>C28*18-B7-F4</f>
        <v>7907.8800000000047</v>
      </c>
      <c r="E28" s="335">
        <f>RATE(18,-C28,(B7+F4))*12</f>
        <v>2.9894449153318393E-2</v>
      </c>
      <c r="F28" s="335">
        <f>D28/(B7+F4)/1.5</f>
        <v>1.5888848704038585E-2</v>
      </c>
      <c r="G28" s="335">
        <f>D28/(B7+F4)</f>
        <v>2.3833273056057879E-2</v>
      </c>
      <c r="H28" s="678">
        <f t="shared" ref="H28" si="0">MIN($I$16,J28)</f>
        <v>8048.3899999999994</v>
      </c>
      <c r="J28" s="679">
        <f>$B$7*VLOOKUP(B28,'参数-车系车型 利率'!$B$78:$C$83,2,0)</f>
        <v>15957.50646297114</v>
      </c>
      <c r="K28" s="321" t="e">
        <f>ROUNDUP(I24/VLOOKUP(B28,'参数-车系车型 利率'!B86:C91,2,0),0)-1</f>
        <v>#N/A</v>
      </c>
      <c r="L28" s="428">
        <f>VLOOKUP($B$4,'厂贴车型明细&amp;贷款金额说明'!C:K,5,0)</f>
        <v>331800</v>
      </c>
      <c r="M28" s="680" t="str">
        <f>IF(B4="至境世家尊享版 新能源","个人申请：厂贴_5.99贴息 新优速贷/个体工商户升级 18期","个人申请：厂贴_5.99贴息 新优速贷 18期")</f>
        <v>个人申请：厂贴_5.99贴息 新优速贷 18期</v>
      </c>
      <c r="N28" s="70"/>
      <c r="O28" s="72"/>
      <c r="P28" s="72"/>
      <c r="Q28" s="72"/>
      <c r="R28" s="72"/>
      <c r="S28" s="72"/>
      <c r="T28" s="72"/>
    </row>
  </sheetData>
  <sheetProtection algorithmName="SHA-512" hashValue="SauIBrztT5bpJnLlcUxQytKX63Ex9PJZDRMMzbmIPicrD63nPYMCDOyRtFmfO/15EO5kyx4IofNHagW6DmEy1A==" saltValue="vkH/oqaeNTucT0Bk5oi9GQ==" spinCount="100000" sheet="1" objects="1" scenarios="1"/>
  <mergeCells count="17">
    <mergeCell ref="A24:A28"/>
    <mergeCell ref="M16:M18"/>
    <mergeCell ref="I16:I20"/>
    <mergeCell ref="P16:Q16"/>
    <mergeCell ref="P17:Q17"/>
    <mergeCell ref="P18:Q18"/>
    <mergeCell ref="P19:Q19"/>
    <mergeCell ref="A13:A18"/>
    <mergeCell ref="C9:D9"/>
    <mergeCell ref="H4:M9"/>
    <mergeCell ref="M2:M3"/>
    <mergeCell ref="B3:C3"/>
    <mergeCell ref="B4:C4"/>
    <mergeCell ref="B5:C5"/>
    <mergeCell ref="B6:C6"/>
    <mergeCell ref="E6:F6"/>
    <mergeCell ref="B7:C7"/>
  </mergeCells>
  <phoneticPr fontId="1" type="noConversion"/>
  <conditionalFormatting sqref="B11">
    <cfRule type="expression" dxfId="396" priority="45">
      <formula>$B$8&lt;30%</formula>
    </cfRule>
  </conditionalFormatting>
  <conditionalFormatting sqref="B13:C13">
    <cfRule type="expression" dxfId="395" priority="39">
      <formula>$C$13&lt;$F$12</formula>
    </cfRule>
  </conditionalFormatting>
  <conditionalFormatting sqref="B24:C24">
    <cfRule type="expression" dxfId="394" priority="11">
      <formula>$C$13&lt;$F$12</formula>
    </cfRule>
  </conditionalFormatting>
  <conditionalFormatting sqref="B16:G16">
    <cfRule type="expression" dxfId="393" priority="60">
      <formula>$B$7&lt;$L$16</formula>
    </cfRule>
  </conditionalFormatting>
  <conditionalFormatting sqref="B17:G17">
    <cfRule type="expression" dxfId="392" priority="54">
      <formula>$B$7&lt;$L$17</formula>
    </cfRule>
  </conditionalFormatting>
  <conditionalFormatting sqref="B18:G18">
    <cfRule type="expression" dxfId="391" priority="56">
      <formula>$B$7&lt;$L$18</formula>
    </cfRule>
  </conditionalFormatting>
  <conditionalFormatting sqref="B19:G19">
    <cfRule type="expression" dxfId="390" priority="58">
      <formula>$B$7&lt;$L$19</formula>
    </cfRule>
  </conditionalFormatting>
  <conditionalFormatting sqref="B20:G20">
    <cfRule type="expression" dxfId="389" priority="52">
      <formula>$B$7&lt;$L$20</formula>
    </cfRule>
    <cfRule type="expression" dxfId="388" priority="53">
      <formula>$E$20&lt;-0.001%</formula>
    </cfRule>
  </conditionalFormatting>
  <conditionalFormatting sqref="B27:G27">
    <cfRule type="expression" dxfId="387" priority="24">
      <formula>$B$7&lt;$L$27</formula>
    </cfRule>
  </conditionalFormatting>
  <conditionalFormatting sqref="B28:G28">
    <cfRule type="expression" dxfId="386" priority="7">
      <formula>$E$20&lt;-0.001%</formula>
    </cfRule>
    <cfRule type="expression" dxfId="385" priority="6">
      <formula>$B$7&lt;$L$28</formula>
    </cfRule>
  </conditionalFormatting>
  <conditionalFormatting sqref="B19:H19">
    <cfRule type="expression" dxfId="384" priority="2">
      <formula>$B$7&gt;$K$19</formula>
    </cfRule>
  </conditionalFormatting>
  <conditionalFormatting sqref="B20:H20">
    <cfRule type="expression" dxfId="383" priority="1">
      <formula>$B$7&gt;$K$20</formula>
    </cfRule>
  </conditionalFormatting>
  <conditionalFormatting sqref="C9">
    <cfRule type="expression" dxfId="382" priority="65">
      <formula>$B$9&gt;0</formula>
    </cfRule>
  </conditionalFormatting>
  <conditionalFormatting sqref="C8:D8">
    <cfRule type="expression" dxfId="381" priority="44">
      <formula>$B$8&lt;$D$8</formula>
    </cfRule>
  </conditionalFormatting>
  <conditionalFormatting sqref="D3">
    <cfRule type="expression" dxfId="380" priority="62">
      <formula>$B$3="新君威"</formula>
    </cfRule>
  </conditionalFormatting>
  <conditionalFormatting sqref="E12">
    <cfRule type="expression" dxfId="379" priority="46">
      <formula>$B$13&lt;$E$12</formula>
    </cfRule>
  </conditionalFormatting>
  <conditionalFormatting sqref="E16">
    <cfRule type="expression" dxfId="378" priority="61">
      <formula>$E$16&lt;2.99%</formula>
    </cfRule>
  </conditionalFormatting>
  <conditionalFormatting sqref="E17">
    <cfRule type="expression" dxfId="377" priority="55">
      <formula>$E$17&lt;2.99%</formula>
    </cfRule>
  </conditionalFormatting>
  <conditionalFormatting sqref="E18">
    <cfRule type="expression" dxfId="376" priority="57">
      <formula>$E$18&lt;2.99%</formula>
    </cfRule>
  </conditionalFormatting>
  <conditionalFormatting sqref="E23">
    <cfRule type="expression" dxfId="375" priority="14">
      <formula>$B$13&lt;$E$12</formula>
    </cfRule>
  </conditionalFormatting>
  <conditionalFormatting sqref="E6:F6">
    <cfRule type="expression" dxfId="374" priority="43">
      <formula>$F$5&lt;20%</formula>
    </cfRule>
  </conditionalFormatting>
  <conditionalFormatting sqref="E8:F8">
    <cfRule type="expression" dxfId="373" priority="38">
      <formula>$F$7&gt;$F$8</formula>
    </cfRule>
  </conditionalFormatting>
  <conditionalFormatting sqref="F7">
    <cfRule type="expression" dxfId="372" priority="42">
      <formula>$C$13&lt;$F$12</formula>
    </cfRule>
  </conditionalFormatting>
  <conditionalFormatting sqref="K16">
    <cfRule type="cellIs" dxfId="371" priority="68" operator="greaterThanOrEqual">
      <formula>$L$16</formula>
    </cfRule>
  </conditionalFormatting>
  <conditionalFormatting sqref="K17">
    <cfRule type="cellIs" dxfId="370" priority="67" operator="greaterThanOrEqual">
      <formula>$L$17</formula>
    </cfRule>
  </conditionalFormatting>
  <conditionalFormatting sqref="K18">
    <cfRule type="cellIs" dxfId="369" priority="66" operator="greaterThanOrEqual">
      <formula>$L$18</formula>
    </cfRule>
  </conditionalFormatting>
  <conditionalFormatting sqref="K19:K20">
    <cfRule type="expression" dxfId="368" priority="3">
      <formula>$B$7&gt;$K$20</formula>
    </cfRule>
  </conditionalFormatting>
  <conditionalFormatting sqref="K27">
    <cfRule type="cellIs" dxfId="367" priority="30" operator="greaterThanOrEqual">
      <formula>$L$16</formula>
    </cfRule>
  </conditionalFormatting>
  <conditionalFormatting sqref="K28">
    <cfRule type="cellIs" dxfId="366" priority="8" operator="greaterThanOrEqual">
      <formula>$L$20</formula>
    </cfRule>
  </conditionalFormatting>
  <conditionalFormatting sqref="L16">
    <cfRule type="expression" dxfId="365" priority="41">
      <formula>$B$7&lt;$L$16</formula>
    </cfRule>
  </conditionalFormatting>
  <conditionalFormatting sqref="L17">
    <cfRule type="expression" dxfId="364" priority="40">
      <formula>$B$7&lt;$L$17</formula>
    </cfRule>
  </conditionalFormatting>
  <conditionalFormatting sqref="L18">
    <cfRule type="expression" dxfId="363" priority="70">
      <formula>$B$7&lt;$L$18</formula>
    </cfRule>
  </conditionalFormatting>
  <conditionalFormatting sqref="L19">
    <cfRule type="expression" dxfId="362" priority="71">
      <formula>$B$7&lt;$L$19</formula>
    </cfRule>
  </conditionalFormatting>
  <conditionalFormatting sqref="L19:L20">
    <cfRule type="containsText" dxfId="361" priority="48" operator="containsText" text="无方案">
      <formula>NOT(ISERROR(SEARCH("无方案",L19)))</formula>
    </cfRule>
  </conditionalFormatting>
  <conditionalFormatting sqref="L20">
    <cfRule type="expression" dxfId="360" priority="72">
      <formula>$B$7&lt;$L$20</formula>
    </cfRule>
  </conditionalFormatting>
  <conditionalFormatting sqref="L27">
    <cfRule type="expression" dxfId="359" priority="13">
      <formula>$B$7&lt;$L$27</formula>
    </cfRule>
  </conditionalFormatting>
  <conditionalFormatting sqref="L28">
    <cfRule type="containsText" dxfId="358" priority="5" operator="containsText" text="无方案">
      <formula>NOT(ISERROR(SEARCH("无方案",L28)))</formula>
    </cfRule>
    <cfRule type="expression" dxfId="357" priority="9">
      <formula>$B$7&lt;$L$28</formula>
    </cfRule>
  </conditionalFormatting>
  <conditionalFormatting sqref="M16">
    <cfRule type="containsText" dxfId="356" priority="69" operator="containsText" text="无方案">
      <formula>NOT(ISERROR(SEARCH("无方案",M16)))</formula>
    </cfRule>
  </conditionalFormatting>
  <conditionalFormatting sqref="M27:M28">
    <cfRule type="containsText" dxfId="355" priority="31" operator="containsText" text="无方案">
      <formula>NOT(ISERROR(SEARCH("无方案",M27)))</formula>
    </cfRule>
  </conditionalFormatting>
  <dataValidations count="1">
    <dataValidation type="list" allowBlank="1" showInputMessage="1" showErrorMessage="1" sqref="B4" xr:uid="{5F1085F7-4685-41C1-83D1-676D4445B88B}">
      <formula1>INDIRECT($B$3)</formula1>
    </dataValidation>
  </dataValidations>
  <hyperlinks>
    <hyperlink ref="M2" location="试算路径!A1" display="返回" xr:uid="{269B3FB5-0B64-48FD-94CE-721689C6AF2D}"/>
    <hyperlink ref="M2:M3" location="试算路径及方案简述!A1" display="返回" xr:uid="{D307EB39-0BD8-48A5-A93D-086EECC7225C}"/>
  </hyperlinks>
  <pageMargins left="0.7" right="0.7" top="0.75" bottom="0.75" header="0.3" footer="0.3"/>
  <pageSetup orientation="portrait" horizontalDpi="300" verticalDpi="0" copies="0"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E795E0-4128-4B1B-A049-F348FF8F5F90}">
  <sheetPr>
    <tabColor rgb="FFFFC000"/>
  </sheetPr>
  <dimension ref="A1:U29"/>
  <sheetViews>
    <sheetView zoomScale="60" zoomScaleNormal="60" workbookViewId="0">
      <pane ySplit="12" topLeftCell="A24" activePane="bottomLeft" state="frozen"/>
      <selection activeCell="E20" sqref="E20"/>
      <selection pane="bottomLeft" activeCell="E10" sqref="E10"/>
    </sheetView>
  </sheetViews>
  <sheetFormatPr defaultColWidth="8.75" defaultRowHeight="16.5"/>
  <cols>
    <col min="1" max="1" width="21.9140625" style="23" customWidth="1"/>
    <col min="2" max="2" width="17.33203125" style="23" customWidth="1"/>
    <col min="3" max="3" width="23.33203125" style="23" customWidth="1"/>
    <col min="4" max="4" width="18.9140625" style="23" customWidth="1"/>
    <col min="5" max="5" width="23" style="23" customWidth="1"/>
    <col min="6" max="6" width="20" style="23" customWidth="1"/>
    <col min="7" max="7" width="17.33203125" style="23" customWidth="1"/>
    <col min="8" max="8" width="20.08203125" style="23" customWidth="1"/>
    <col min="9" max="10" width="17.08203125" style="23" hidden="1" customWidth="1"/>
    <col min="11" max="11" width="17.75" style="23" customWidth="1"/>
    <col min="12" max="12" width="16.75" style="23" customWidth="1"/>
    <col min="13" max="13" width="73.08203125" style="23" customWidth="1"/>
    <col min="14" max="14" width="2.33203125" style="23" customWidth="1"/>
    <col min="15" max="15" width="23.08203125" style="23" customWidth="1"/>
    <col min="16" max="16" width="19.08203125" style="23" customWidth="1"/>
    <col min="17" max="17" width="11.75" style="23" customWidth="1"/>
    <col min="18" max="18" width="13.4140625" style="23" customWidth="1"/>
    <col min="19" max="19" width="7.75" style="23" customWidth="1"/>
    <col min="20" max="20" width="16.08203125" style="23" customWidth="1"/>
    <col min="21" max="21" width="2" style="23" customWidth="1"/>
    <col min="22" max="16384" width="8.75" style="23"/>
  </cols>
  <sheetData>
    <row r="1" spans="1:21" ht="7.5" customHeight="1">
      <c r="S1" s="24"/>
      <c r="T1" s="24"/>
    </row>
    <row r="2" spans="1:21" ht="21.65" customHeight="1">
      <c r="A2" s="25" t="s">
        <v>335</v>
      </c>
      <c r="E2" s="25"/>
      <c r="M2" s="810" t="s">
        <v>286</v>
      </c>
      <c r="S2" s="24"/>
      <c r="T2" s="24"/>
    </row>
    <row r="3" spans="1:21" ht="30" customHeight="1">
      <c r="A3" s="26" t="s">
        <v>45</v>
      </c>
      <c r="B3" s="811" t="s">
        <v>568</v>
      </c>
      <c r="C3" s="811"/>
      <c r="D3" s="264"/>
      <c r="E3" s="626"/>
      <c r="F3" s="627"/>
      <c r="G3" s="39"/>
      <c r="M3" s="810"/>
      <c r="S3" s="24"/>
      <c r="T3" s="24"/>
    </row>
    <row r="4" spans="1:21" ht="28" customHeight="1">
      <c r="A4" s="77" t="s">
        <v>79</v>
      </c>
      <c r="B4" s="799" t="s">
        <v>613</v>
      </c>
      <c r="C4" s="800"/>
      <c r="E4" s="628"/>
      <c r="F4" s="627"/>
      <c r="G4" s="39"/>
      <c r="H4" s="809" t="s">
        <v>601</v>
      </c>
      <c r="I4" s="809"/>
      <c r="J4" s="809"/>
      <c r="K4" s="809"/>
      <c r="L4" s="809"/>
      <c r="M4" s="809"/>
      <c r="N4" s="28"/>
      <c r="T4" s="27"/>
    </row>
    <row r="5" spans="1:21" ht="22.5" customHeight="1">
      <c r="A5" s="30" t="s">
        <v>287</v>
      </c>
      <c r="B5" s="801">
        <f>VLOOKUP(B4,'厂贴车型明细&amp;贷款金额说明'!C:D,2,0)</f>
        <v>499900</v>
      </c>
      <c r="C5" s="801"/>
      <c r="D5" s="31"/>
      <c r="E5" s="629"/>
      <c r="F5" s="630"/>
      <c r="G5" s="39"/>
      <c r="H5" s="809"/>
      <c r="I5" s="809"/>
      <c r="J5" s="809"/>
      <c r="K5" s="809"/>
      <c r="L5" s="809"/>
      <c r="M5" s="809"/>
      <c r="N5" s="32"/>
      <c r="T5" s="27"/>
    </row>
    <row r="6" spans="1:21" ht="27.5" customHeight="1">
      <c r="A6" s="30" t="s">
        <v>288</v>
      </c>
      <c r="B6" s="798">
        <v>469900</v>
      </c>
      <c r="C6" s="798"/>
      <c r="D6" s="35"/>
      <c r="E6" s="825"/>
      <c r="F6" s="825"/>
      <c r="G6" s="39"/>
      <c r="H6" s="809"/>
      <c r="I6" s="809"/>
      <c r="J6" s="809"/>
      <c r="K6" s="809"/>
      <c r="L6" s="809"/>
      <c r="M6" s="809"/>
      <c r="N6" s="36"/>
    </row>
    <row r="7" spans="1:21" ht="27.5" customHeight="1">
      <c r="A7" s="30" t="s">
        <v>289</v>
      </c>
      <c r="B7" s="826">
        <v>0</v>
      </c>
      <c r="C7" s="827"/>
      <c r="D7" s="35"/>
      <c r="E7" s="667"/>
      <c r="F7" s="667"/>
      <c r="G7" s="39"/>
      <c r="H7" s="809"/>
      <c r="I7" s="809"/>
      <c r="J7" s="809"/>
      <c r="K7" s="809"/>
      <c r="L7" s="809"/>
      <c r="M7" s="809"/>
      <c r="N7" s="36"/>
    </row>
    <row r="8" spans="1:21" ht="29" customHeight="1">
      <c r="A8" s="45" t="s">
        <v>514</v>
      </c>
      <c r="B8" s="828">
        <f>B6+B7</f>
        <v>469900</v>
      </c>
      <c r="C8" s="801"/>
      <c r="D8" s="342" t="s">
        <v>50</v>
      </c>
      <c r="E8" s="632">
        <f>B5*115%</f>
        <v>574885</v>
      </c>
      <c r="F8" s="631"/>
      <c r="G8" s="39"/>
      <c r="H8" s="809"/>
      <c r="I8" s="809"/>
      <c r="J8" s="809"/>
      <c r="K8" s="809"/>
      <c r="L8" s="809"/>
      <c r="M8" s="809"/>
    </row>
    <row r="9" spans="1:21" s="24" customFormat="1" ht="31" customHeight="1">
      <c r="A9" s="45" t="s">
        <v>245</v>
      </c>
      <c r="B9" s="826">
        <v>250300</v>
      </c>
      <c r="C9" s="827"/>
      <c r="D9" s="612"/>
      <c r="E9" s="614"/>
      <c r="F9" s="668"/>
      <c r="G9" s="23"/>
      <c r="H9" s="809"/>
      <c r="I9" s="809"/>
      <c r="J9" s="809"/>
      <c r="K9" s="809"/>
      <c r="L9" s="809"/>
      <c r="M9" s="809"/>
      <c r="N9" s="46"/>
      <c r="O9" s="23"/>
      <c r="P9" s="23"/>
      <c r="Q9" s="23"/>
      <c r="R9" s="23"/>
    </row>
    <row r="10" spans="1:21" ht="33" customHeight="1">
      <c r="A10" s="47" t="s">
        <v>53</v>
      </c>
      <c r="B10" s="662">
        <v>0</v>
      </c>
      <c r="C10" s="807" t="s">
        <v>130</v>
      </c>
      <c r="D10" s="808"/>
      <c r="E10" s="673"/>
      <c r="F10" s="671"/>
      <c r="G10" s="671"/>
      <c r="H10" s="671"/>
      <c r="I10" s="671"/>
      <c r="J10" s="671"/>
      <c r="K10" s="671"/>
      <c r="L10" s="671"/>
      <c r="M10" s="671"/>
      <c r="N10" s="49"/>
    </row>
    <row r="11" spans="1:21" ht="16.5" customHeight="1">
      <c r="B11" s="310"/>
      <c r="E11" s="493"/>
      <c r="U11" s="51" t="s">
        <v>56</v>
      </c>
    </row>
    <row r="12" spans="1:21" ht="22.5" customHeight="1" thickBot="1">
      <c r="A12" s="52" t="s">
        <v>57</v>
      </c>
      <c r="B12" s="53"/>
      <c r="C12" s="54"/>
    </row>
    <row r="13" spans="1:21" ht="27" customHeight="1" thickTop="1">
      <c r="A13" s="407" t="s">
        <v>578</v>
      </c>
      <c r="B13" s="409" t="s">
        <v>60</v>
      </c>
      <c r="C13" s="440" t="s">
        <v>59</v>
      </c>
      <c r="D13" s="342"/>
      <c r="E13" s="344"/>
      <c r="H13" s="271"/>
      <c r="I13" s="311"/>
      <c r="J13" s="264"/>
      <c r="K13" s="367"/>
      <c r="L13" s="310"/>
      <c r="M13" s="27"/>
      <c r="N13" s="27"/>
    </row>
    <row r="14" spans="1:21" ht="22" customHeight="1">
      <c r="A14" s="824" t="s">
        <v>371</v>
      </c>
      <c r="B14" s="362">
        <f>C14/B8</f>
        <v>0.46733347520749097</v>
      </c>
      <c r="C14" s="437">
        <f>B8-B9</f>
        <v>219600</v>
      </c>
      <c r="D14" s="310" t="s">
        <v>555</v>
      </c>
      <c r="E14" s="310"/>
      <c r="F14" s="264"/>
      <c r="G14" s="438"/>
      <c r="H14" s="337"/>
      <c r="I14" s="438"/>
      <c r="J14" s="325"/>
      <c r="K14" s="325"/>
      <c r="L14" s="438"/>
      <c r="M14" s="92"/>
      <c r="N14" s="27"/>
    </row>
    <row r="15" spans="1:21" ht="2.5" customHeight="1">
      <c r="A15" s="783"/>
      <c r="B15" s="425"/>
      <c r="C15" s="439"/>
      <c r="D15" s="339"/>
      <c r="E15" s="339"/>
      <c r="F15" s="339"/>
      <c r="G15" s="339"/>
      <c r="H15" s="339"/>
      <c r="I15" s="339"/>
      <c r="J15" s="339"/>
      <c r="K15" s="339"/>
      <c r="L15" s="339"/>
      <c r="M15" s="426"/>
    </row>
    <row r="16" spans="1:21" ht="37" customHeight="1">
      <c r="A16" s="783"/>
      <c r="B16" s="77" t="s">
        <v>61</v>
      </c>
      <c r="C16" s="314" t="s">
        <v>234</v>
      </c>
      <c r="D16" s="316" t="s">
        <v>344</v>
      </c>
      <c r="E16" s="316" t="s">
        <v>276</v>
      </c>
      <c r="F16" s="316" t="s">
        <v>277</v>
      </c>
      <c r="G16" s="88" t="s">
        <v>306</v>
      </c>
      <c r="H16" s="462" t="s">
        <v>64</v>
      </c>
      <c r="I16" s="317" t="s">
        <v>266</v>
      </c>
      <c r="J16" s="317" t="s">
        <v>265</v>
      </c>
      <c r="K16" s="494" t="s">
        <v>600</v>
      </c>
      <c r="L16" s="494" t="s">
        <v>519</v>
      </c>
      <c r="M16" s="58" t="s">
        <v>440</v>
      </c>
      <c r="N16" s="59"/>
      <c r="O16" s="60"/>
      <c r="P16" s="60" t="s">
        <v>378</v>
      </c>
    </row>
    <row r="17" spans="1:20" ht="31" customHeight="1">
      <c r="A17" s="783"/>
      <c r="B17" s="427" t="s">
        <v>38</v>
      </c>
      <c r="C17" s="282">
        <f>ROUNDUP(PMT(VLOOKUP(B4,'参数-车系车型 利率'!B:I,2,0)/12,60,-$B$9)-(H17+B10)/60,2)</f>
        <v>4703.7</v>
      </c>
      <c r="D17" s="561">
        <f>C17*60-B9</f>
        <v>31922</v>
      </c>
      <c r="E17" s="335">
        <f>RATE(60,-C17,(B9))*12</f>
        <v>4.82737627220877E-2</v>
      </c>
      <c r="F17" s="335">
        <f>D17/(B9)/5</f>
        <v>2.5506991610067919E-2</v>
      </c>
      <c r="G17" s="335">
        <f>D17/(B9)</f>
        <v>0.1275349580503396</v>
      </c>
      <c r="H17" s="664">
        <f>MIN($I$17,J17)</f>
        <v>8048.3899999999994</v>
      </c>
      <c r="I17" s="819">
        <f>VLOOKUP($B$4,'厂贴车型明细&amp;贷款金额说明'!C:E,3,0)</f>
        <v>8048.3899999999994</v>
      </c>
      <c r="J17" s="666">
        <f>$B$9*VLOOKUP(B17,'参数-车系车型 利率'!$B$78:$C$83,2,0)</f>
        <v>39975.413</v>
      </c>
      <c r="K17" s="321">
        <f>ROUNDUP(I17/VLOOKUP(B17,'参数-车系车型 利率'!B78:C83,2,0),0)-1</f>
        <v>50393</v>
      </c>
      <c r="L17" s="428">
        <f>VLOOKUP($B$4,'厂贴车型明细&amp;贷款金额说明'!C:K,9,0)</f>
        <v>160000</v>
      </c>
      <c r="M17" s="829" t="str">
        <f>VLOOKUP(B4,'参数-方案配置'!C:H,6,0)</f>
        <v xml:space="preserve">企业申请：厂贴_5.99贴息 新公牌易贷/个体工商户  36-60期 
企业商用：厂贴_5.99贴息 营运租赁  36期 </v>
      </c>
      <c r="N17" s="59"/>
      <c r="O17" s="65" t="s">
        <v>67</v>
      </c>
      <c r="P17" s="787">
        <v>24</v>
      </c>
      <c r="Q17" s="787"/>
      <c r="R17" s="456" t="s">
        <v>370</v>
      </c>
      <c r="S17" s="66"/>
      <c r="T17" s="67"/>
    </row>
    <row r="18" spans="1:20" ht="31" customHeight="1">
      <c r="A18" s="783"/>
      <c r="B18" s="427" t="s">
        <v>39</v>
      </c>
      <c r="C18" s="282">
        <f>ROUNDUP(PMT(VLOOKUP(B4,'参数-车系车型 利率'!B:I,3,0)/12,48,-$B$9)-(H18+B10)/48,2)</f>
        <v>5709.49</v>
      </c>
      <c r="D18" s="561">
        <f>C18*48-B9</f>
        <v>23755.520000000019</v>
      </c>
      <c r="E18" s="335">
        <f>RATE(48,-C18,(B9))*12</f>
        <v>4.5157705680364653E-2</v>
      </c>
      <c r="F18" s="335">
        <f>D18/(B9)/4</f>
        <v>2.3727047542948479E-2</v>
      </c>
      <c r="G18" s="335">
        <f>D18/(B9)</f>
        <v>9.4908190171793916E-2</v>
      </c>
      <c r="H18" s="664">
        <f>MIN($I$17,J18)</f>
        <v>8048.3899999999994</v>
      </c>
      <c r="I18" s="820"/>
      <c r="J18" s="666">
        <f>$B$9*VLOOKUP(B18,'参数-车系车型 利率'!$B$78:$C$83,2,0)</f>
        <v>31809.500649999998</v>
      </c>
      <c r="K18" s="321">
        <f>ROUNDUP(I17/VLOOKUP(B18,'参数-车系车型 利率'!B78:C83,2,0),0)-1</f>
        <v>63330</v>
      </c>
      <c r="L18" s="428">
        <f>VLOOKUP($B$4,'厂贴车型明细&amp;贷款金额说明'!C:K,8,0)</f>
        <v>160000</v>
      </c>
      <c r="M18" s="829"/>
      <c r="N18" s="59"/>
      <c r="O18" s="65" t="s">
        <v>69</v>
      </c>
      <c r="P18" s="795">
        <f>B9-(C17*P17-P20)</f>
        <v>157348.82740977855</v>
      </c>
      <c r="Q18" s="795"/>
      <c r="R18" s="68"/>
      <c r="S18" s="66"/>
      <c r="T18" s="67"/>
    </row>
    <row r="19" spans="1:20" ht="31" customHeight="1">
      <c r="A19" s="784"/>
      <c r="B19" s="427" t="s">
        <v>40</v>
      </c>
      <c r="C19" s="283">
        <f>ROUNDUP(PMT(VLOOKUP(B4,'参数-车系车型 利率'!B:I,4,0)/12,36,-$B$9)-(H19+B10)/36,2)</f>
        <v>7389.92</v>
      </c>
      <c r="D19" s="562">
        <f>C19*36-B9</f>
        <v>15737.119999999995</v>
      </c>
      <c r="E19" s="335">
        <f>RATE(36,-C19,(B9))*12</f>
        <v>4.0005977166970366E-2</v>
      </c>
      <c r="F19" s="335">
        <f>D19/(B9)/3</f>
        <v>2.0957677453722193E-2</v>
      </c>
      <c r="G19" s="335">
        <f>D19/(B9)</f>
        <v>6.2873032361166578E-2</v>
      </c>
      <c r="H19" s="664">
        <f>MIN($I$17,J19)</f>
        <v>8048.3899999999994</v>
      </c>
      <c r="I19" s="820"/>
      <c r="J19" s="666">
        <f>$B$9*VLOOKUP(B19,'参数-车系车型 利率'!$B$78:$C$83,2,0)</f>
        <v>23786.782427000002</v>
      </c>
      <c r="K19" s="321">
        <f>ROUNDUP(I17/VLOOKUP(B19,'参数-车系车型 利率'!B78:C83,2,0),0)-1</f>
        <v>84690</v>
      </c>
      <c r="L19" s="428">
        <f>VLOOKUP($B$4,'厂贴车型明细&amp;贷款金额说明'!C:K,7,0)</f>
        <v>160000</v>
      </c>
      <c r="M19" s="829"/>
      <c r="N19" s="59"/>
      <c r="O19" s="69" t="s">
        <v>70</v>
      </c>
      <c r="P19" s="822">
        <f>D17-P20</f>
        <v>11984.372590221479</v>
      </c>
      <c r="Q19" s="822"/>
      <c r="R19" s="68"/>
      <c r="S19" s="66"/>
      <c r="T19" s="67"/>
    </row>
    <row r="20" spans="1:20" s="27" customFormat="1" ht="45" hidden="1" customHeight="1">
      <c r="A20" s="685"/>
      <c r="B20" s="686" t="s">
        <v>41</v>
      </c>
      <c r="C20" s="687">
        <f>ROUNDUP(PMT(VLOOKUP(B4,'参数-车系车型 利率'!B:I,5,0)/12,24,-$B$9)-H20/24,2)</f>
        <v>10757.09</v>
      </c>
      <c r="D20" s="688">
        <f>C20*24-B9</f>
        <v>7870.1600000000035</v>
      </c>
      <c r="E20" s="689">
        <f>RATE(24,-C20,(B9))*12</f>
        <v>2.9899978245383065E-2</v>
      </c>
      <c r="F20" s="689">
        <f>D20/(B9)/2</f>
        <v>1.5721454254894133E-2</v>
      </c>
      <c r="G20" s="689">
        <f>D20/B9</f>
        <v>3.1442908509788266E-2</v>
      </c>
      <c r="H20" s="690">
        <f>B9*0.032144</f>
        <v>8045.6431999999995</v>
      </c>
      <c r="I20" s="820"/>
      <c r="J20" s="690">
        <f>$B$9*VLOOKUP(B20,'参数-车系车型 利率'!$B$78:$C$83,2,0)</f>
        <v>15916.326700000001</v>
      </c>
      <c r="K20" s="321">
        <f>IF(B5="至境世家尊享版 新能源",220000,235000)</f>
        <v>235000</v>
      </c>
      <c r="L20" s="690">
        <f>VLOOKUP($B$4,'厂贴车型明细&amp;贷款金额说明'!C:K,6,0)</f>
        <v>250300</v>
      </c>
      <c r="M20" s="682" t="s">
        <v>593</v>
      </c>
      <c r="N20" s="683"/>
      <c r="O20" s="684" t="s">
        <v>71</v>
      </c>
      <c r="P20" s="823">
        <f>(B9*(E17/12)-C17)*((1+(E17/12))^(P17)-1)/(E17/12)+(C17)*P17</f>
        <v>19937.627409778521</v>
      </c>
      <c r="Q20" s="823"/>
      <c r="R20" s="72"/>
      <c r="S20" s="72"/>
      <c r="T20" s="72"/>
    </row>
    <row r="21" spans="1:20" s="27" customFormat="1" ht="45" hidden="1" customHeight="1">
      <c r="A21" s="685"/>
      <c r="B21" s="686" t="s">
        <v>42</v>
      </c>
      <c r="C21" s="687">
        <f>ROUNDUP(PMT(VLOOKUP(B4,'参数-车系车型 利率'!B:I,6,0)/12,18,-$B$9)-H21/18,2)</f>
        <v>14237.02</v>
      </c>
      <c r="D21" s="688">
        <f>C21*18-B9</f>
        <v>5966.3600000000151</v>
      </c>
      <c r="E21" s="689">
        <f>RATE(18,-C21,(B9))*12</f>
        <v>2.9898886926729415E-2</v>
      </c>
      <c r="F21" s="689">
        <f>D21/(B9)/1.5</f>
        <v>1.5891223864695738E-2</v>
      </c>
      <c r="G21" s="689">
        <f>D21/B9</f>
        <v>2.3836835797043609E-2</v>
      </c>
      <c r="H21" s="690">
        <f>B9*0.024253</f>
        <v>6070.5258999999996</v>
      </c>
      <c r="I21" s="821"/>
      <c r="J21" s="690">
        <f>$B$9*VLOOKUP(B21,'参数-车系车型 利率'!$B$78:$C$83,2,0)</f>
        <v>12037.86578565906</v>
      </c>
      <c r="K21" s="321">
        <f>IF(B5="至境世家尊享版 新能源",291000,311000)</f>
        <v>311000</v>
      </c>
      <c r="L21" s="690">
        <f>VLOOKUP($B$4,'厂贴车型明细&amp;贷款金额说明'!C:K,5,0)</f>
        <v>331800</v>
      </c>
      <c r="M21" s="682" t="s">
        <v>594</v>
      </c>
      <c r="N21" s="683"/>
      <c r="O21" s="72"/>
      <c r="P21" s="72"/>
      <c r="Q21" s="72"/>
      <c r="R21" s="72"/>
      <c r="S21" s="72"/>
      <c r="T21" s="72"/>
    </row>
    <row r="24" spans="1:20" ht="27" customHeight="1">
      <c r="A24" s="407" t="s">
        <v>381</v>
      </c>
      <c r="B24" s="409" t="s">
        <v>60</v>
      </c>
      <c r="C24" s="440" t="s">
        <v>59</v>
      </c>
      <c r="D24" s="342"/>
      <c r="E24" s="344"/>
      <c r="H24" s="271"/>
      <c r="I24" s="311"/>
      <c r="J24" s="264"/>
      <c r="K24" s="367"/>
      <c r="L24" s="310"/>
      <c r="M24" s="27"/>
      <c r="N24" s="27"/>
    </row>
    <row r="25" spans="1:20" ht="22" customHeight="1">
      <c r="A25" s="814" t="s">
        <v>371</v>
      </c>
      <c r="B25" s="362">
        <f>C25/B8</f>
        <v>0.46733347520749097</v>
      </c>
      <c r="C25" s="437">
        <f>B8-B9</f>
        <v>219600</v>
      </c>
      <c r="D25" s="310" t="s">
        <v>555</v>
      </c>
      <c r="E25" s="310"/>
      <c r="F25" s="264"/>
      <c r="G25" s="438"/>
      <c r="H25" s="337"/>
      <c r="I25" s="438"/>
      <c r="J25" s="325"/>
      <c r="K25" s="325"/>
      <c r="L25" s="438"/>
      <c r="M25" s="92"/>
      <c r="N25" s="27"/>
    </row>
    <row r="26" spans="1:20" ht="2.5" customHeight="1">
      <c r="A26" s="815"/>
      <c r="B26" s="425"/>
      <c r="C26" s="439"/>
      <c r="D26" s="339"/>
      <c r="E26" s="339"/>
      <c r="F26" s="339"/>
      <c r="G26" s="339"/>
      <c r="H26" s="339"/>
      <c r="I26" s="339"/>
      <c r="J26" s="339"/>
      <c r="K26" s="339"/>
      <c r="L26" s="339"/>
      <c r="M26" s="426"/>
    </row>
    <row r="27" spans="1:20" ht="37" customHeight="1">
      <c r="A27" s="815"/>
      <c r="B27" s="77" t="s">
        <v>61</v>
      </c>
      <c r="C27" s="314" t="s">
        <v>234</v>
      </c>
      <c r="D27" s="316" t="s">
        <v>344</v>
      </c>
      <c r="E27" s="316" t="s">
        <v>276</v>
      </c>
      <c r="F27" s="316" t="s">
        <v>277</v>
      </c>
      <c r="G27" s="88" t="s">
        <v>306</v>
      </c>
      <c r="H27" s="462" t="s">
        <v>64</v>
      </c>
      <c r="I27" s="317" t="s">
        <v>266</v>
      </c>
      <c r="J27" s="317" t="s">
        <v>265</v>
      </c>
      <c r="K27" s="494"/>
      <c r="L27" s="494" t="s">
        <v>595</v>
      </c>
      <c r="M27" s="58" t="s">
        <v>440</v>
      </c>
      <c r="N27" s="59"/>
    </row>
    <row r="28" spans="1:20" ht="43" customHeight="1">
      <c r="A28" s="815"/>
      <c r="B28" s="427" t="s">
        <v>41</v>
      </c>
      <c r="C28" s="282">
        <f>ROUNDUP(PMT(VLOOKUP(B4,'参数-车系车型 利率'!B:I,5,0)/12,24,-$B$9)-(H28+B10)/24,2)</f>
        <v>10756.98</v>
      </c>
      <c r="D28" s="561">
        <f>C28*24-B9</f>
        <v>7867.5199999999895</v>
      </c>
      <c r="E28" s="335">
        <f>RATE(24,-C28,(B9))*12</f>
        <v>2.989004219408458E-2</v>
      </c>
      <c r="F28" s="335">
        <f>D28/(B9)/2</f>
        <v>1.5716180583300019E-2</v>
      </c>
      <c r="G28" s="335">
        <f>D28/B9</f>
        <v>3.1432361166600038E-2</v>
      </c>
      <c r="H28" s="664">
        <f>MIN($I$17,J28)</f>
        <v>8048.3899999999994</v>
      </c>
      <c r="I28" s="665">
        <f>VLOOKUP($B$4,'厂贴车型明细&amp;贷款金额说明'!C:E,3,0)</f>
        <v>8048.3899999999994</v>
      </c>
      <c r="J28" s="666">
        <f>$B$9*VLOOKUP(B28,'参数-车系车型 利率'!$B$78:$C$83,2,0)</f>
        <v>15916.326700000001</v>
      </c>
      <c r="K28" s="321" t="e">
        <f>ROUNDUP(I28/VLOOKUP(B28,'参数-车系车型 利率'!B89:C94,2,0),0)-1</f>
        <v>#N/A</v>
      </c>
      <c r="L28" s="428">
        <f>VLOOKUP($B$4,'厂贴车型明细&amp;贷款金额说明'!C:K,6,0)</f>
        <v>250300</v>
      </c>
      <c r="M28" s="670" t="s">
        <v>580</v>
      </c>
      <c r="N28" s="59"/>
    </row>
    <row r="29" spans="1:20" ht="43" customHeight="1">
      <c r="A29" s="815"/>
      <c r="B29" s="77" t="s">
        <v>42</v>
      </c>
      <c r="C29" s="283">
        <f>ROUNDUP(PMT(VLOOKUP(B4,'参数-车系车型 利率'!B:I,6,0)/12,18,-$B$9)-(H29+B10)/18,2)</f>
        <v>14127.14</v>
      </c>
      <c r="D29" s="562">
        <f>C29*18-B9</f>
        <v>3988.5199999999895</v>
      </c>
      <c r="E29" s="335">
        <f>RATE(18,-C29,(B9))*12</f>
        <v>2.0033685650141592E-2</v>
      </c>
      <c r="F29" s="335">
        <f>D29/(B9)/1.5</f>
        <v>1.0623305366893035E-2</v>
      </c>
      <c r="G29" s="335">
        <f>D29/B9</f>
        <v>1.5934958050339551E-2</v>
      </c>
      <c r="H29" s="678">
        <f t="shared" ref="H29" si="0">MIN($I$17,J29)</f>
        <v>8048.3899999999994</v>
      </c>
      <c r="J29" s="679">
        <f>$B$9*VLOOKUP(B29,'参数-车系车型 利率'!$B$78:$C$83,2,0)</f>
        <v>12037.86578565906</v>
      </c>
      <c r="K29" s="321"/>
      <c r="L29" s="428">
        <f>VLOOKUP($B$4,'厂贴车型明细&amp;贷款金额说明'!C:K,5,0)</f>
        <v>331800</v>
      </c>
      <c r="M29" s="680" t="str">
        <f>VLOOKUP(B4,'参数-方案配置'!C:I,7,0)</f>
        <v xml:space="preserve">企业申请：厂贴_5.99贴息 新公牌易贷  18期 
企业商用：厂贴_5.99贴息 营运租赁  18期 </v>
      </c>
      <c r="N29" s="70"/>
      <c r="O29" s="72"/>
      <c r="P29" s="72"/>
      <c r="Q29" s="72"/>
      <c r="R29" s="72"/>
      <c r="S29" s="72"/>
      <c r="T29" s="72"/>
    </row>
  </sheetData>
  <sheetProtection algorithmName="SHA-512" hashValue="XNAo1u8H8ZNfEJqg1fvMEpaCP1uKv4WSKEhiqWL8JuxdfS83TrgB08kkgJFrTr9KcaXkhyvJzzE/JndVXvwv9w==" saltValue="C7TCwZK24Qt1tQDpnfRaRw==" spinCount="100000" sheet="1" objects="1" scenarios="1"/>
  <mergeCells count="19">
    <mergeCell ref="A25:A29"/>
    <mergeCell ref="I17:I21"/>
    <mergeCell ref="P17:Q17"/>
    <mergeCell ref="P18:Q18"/>
    <mergeCell ref="P19:Q19"/>
    <mergeCell ref="P20:Q20"/>
    <mergeCell ref="M17:M19"/>
    <mergeCell ref="A14:A19"/>
    <mergeCell ref="C10:D10"/>
    <mergeCell ref="M2:M3"/>
    <mergeCell ref="B3:C3"/>
    <mergeCell ref="B4:C4"/>
    <mergeCell ref="H4:M9"/>
    <mergeCell ref="B5:C5"/>
    <mergeCell ref="B6:C6"/>
    <mergeCell ref="E6:F6"/>
    <mergeCell ref="B7:C7"/>
    <mergeCell ref="B8:C8"/>
    <mergeCell ref="B9:C9"/>
  </mergeCells>
  <phoneticPr fontId="1" type="noConversion"/>
  <conditionalFormatting sqref="B11">
    <cfRule type="expression" dxfId="354" priority="65">
      <formula>$B$9&lt;30%</formula>
    </cfRule>
  </conditionalFormatting>
  <conditionalFormatting sqref="B17:G17">
    <cfRule type="expression" dxfId="353" priority="79">
      <formula>$B$9&lt;$L$17</formula>
    </cfRule>
    <cfRule type="expression" dxfId="352" priority="80">
      <formula>$E$17&lt;-0.001%</formula>
    </cfRule>
  </conditionalFormatting>
  <conditionalFormatting sqref="B18:G18">
    <cfRule type="expression" dxfId="351" priority="73">
      <formula>$B$9&lt;$L$18</formula>
    </cfRule>
    <cfRule type="expression" dxfId="350" priority="74">
      <formula>$E$18&lt;-0.001%</formula>
    </cfRule>
  </conditionalFormatting>
  <conditionalFormatting sqref="B19:G19">
    <cfRule type="expression" dxfId="349" priority="75">
      <formula>$B$9&lt;$L$19</formula>
    </cfRule>
    <cfRule type="expression" dxfId="348" priority="76">
      <formula>$E$19&lt;-0.001%</formula>
    </cfRule>
  </conditionalFormatting>
  <conditionalFormatting sqref="B20:G20">
    <cfRule type="expression" dxfId="347" priority="77">
      <formula>$B$9&lt;$L$20</formula>
    </cfRule>
    <cfRule type="expression" dxfId="346" priority="78">
      <formula>$E$20&lt;-0.001%</formula>
    </cfRule>
  </conditionalFormatting>
  <conditionalFormatting sqref="B21:G21">
    <cfRule type="expression" dxfId="345" priority="72">
      <formula>$E$21&lt;-0.001%</formula>
    </cfRule>
    <cfRule type="expression" dxfId="344" priority="71">
      <formula>$B$9&lt;$L$21</formula>
    </cfRule>
  </conditionalFormatting>
  <conditionalFormatting sqref="B28:G28">
    <cfRule type="expression" dxfId="343" priority="38">
      <formula>$B$9&lt;$L$28</formula>
    </cfRule>
    <cfRule type="expression" dxfId="342" priority="39">
      <formula>$E$28&lt;0.0001%</formula>
    </cfRule>
  </conditionalFormatting>
  <conditionalFormatting sqref="B29:G29">
    <cfRule type="expression" dxfId="341" priority="14">
      <formula>$B$9&lt;$L$29</formula>
    </cfRule>
    <cfRule type="expression" dxfId="340" priority="15">
      <formula>$E$29&lt;0.001%</formula>
    </cfRule>
  </conditionalFormatting>
  <conditionalFormatting sqref="B20:H20">
    <cfRule type="expression" dxfId="339" priority="6">
      <formula>$B$9&gt;$K$20</formula>
    </cfRule>
  </conditionalFormatting>
  <conditionalFormatting sqref="B21:H21">
    <cfRule type="expression" dxfId="338" priority="5">
      <formula>$B$9&gt;$K$21</formula>
    </cfRule>
  </conditionalFormatting>
  <conditionalFormatting sqref="C10">
    <cfRule type="expression" dxfId="337" priority="54">
      <formula>$B$10&gt;0</formula>
    </cfRule>
  </conditionalFormatting>
  <conditionalFormatting sqref="C14">
    <cfRule type="expression" dxfId="336" priority="56">
      <formula>$C$15&lt;$E$14</formula>
    </cfRule>
  </conditionalFormatting>
  <conditionalFormatting sqref="C25">
    <cfRule type="expression" dxfId="335" priority="25">
      <formula>$C$15&lt;$E$14</formula>
    </cfRule>
  </conditionalFormatting>
  <conditionalFormatting sqref="D3">
    <cfRule type="expression" dxfId="334" priority="81">
      <formula>$B$3="新君威"</formula>
    </cfRule>
  </conditionalFormatting>
  <conditionalFormatting sqref="D9">
    <cfRule type="expression" dxfId="333" priority="64">
      <formula>$B$9&lt;$D$9</formula>
    </cfRule>
  </conditionalFormatting>
  <conditionalFormatting sqref="D14">
    <cfRule type="expression" dxfId="332" priority="57">
      <formula>$B$14&lt;25%</formula>
    </cfRule>
  </conditionalFormatting>
  <conditionalFormatting sqref="D25">
    <cfRule type="expression" dxfId="331" priority="26">
      <formula>$B$25&lt;25%</formula>
    </cfRule>
  </conditionalFormatting>
  <conditionalFormatting sqref="D8:E8">
    <cfRule type="expression" dxfId="330" priority="58">
      <formula>$B$8&gt;$E$8</formula>
    </cfRule>
  </conditionalFormatting>
  <conditionalFormatting sqref="D13:E13">
    <cfRule type="expression" dxfId="329" priority="55">
      <formula>$B$15&lt;$E$14</formula>
    </cfRule>
  </conditionalFormatting>
  <conditionalFormatting sqref="D24:E24">
    <cfRule type="expression" dxfId="328" priority="24">
      <formula>$B$15&lt;$E$14</formula>
    </cfRule>
  </conditionalFormatting>
  <conditionalFormatting sqref="E17">
    <cfRule type="expression" dxfId="327" priority="53">
      <formula>$E$17&lt;2.99%</formula>
    </cfRule>
  </conditionalFormatting>
  <conditionalFormatting sqref="E18">
    <cfRule type="expression" dxfId="326" priority="52">
      <formula>$E$18&lt;2.99%</formula>
    </cfRule>
  </conditionalFormatting>
  <conditionalFormatting sqref="E19">
    <cfRule type="expression" dxfId="325" priority="51">
      <formula>$E$19&lt;2.99%</formula>
    </cfRule>
  </conditionalFormatting>
  <conditionalFormatting sqref="E6:F7">
    <cfRule type="expression" dxfId="324" priority="63">
      <formula>$F$5&lt;20%</formula>
    </cfRule>
  </conditionalFormatting>
  <conditionalFormatting sqref="E9:F9">
    <cfRule type="expression" dxfId="323" priority="59">
      <formula>$F$8&gt;$F$9</formula>
    </cfRule>
  </conditionalFormatting>
  <conditionalFormatting sqref="F8">
    <cfRule type="expression" dxfId="322" priority="62">
      <formula>$C$14&lt;$F$13</formula>
    </cfRule>
  </conditionalFormatting>
  <conditionalFormatting sqref="K17">
    <cfRule type="cellIs" dxfId="321" priority="87" operator="greaterThanOrEqual">
      <formula>$L$17</formula>
    </cfRule>
  </conditionalFormatting>
  <conditionalFormatting sqref="K18">
    <cfRule type="cellIs" dxfId="320" priority="86" operator="greaterThanOrEqual">
      <formula>$L$18</formula>
    </cfRule>
  </conditionalFormatting>
  <conditionalFormatting sqref="K19">
    <cfRule type="cellIs" dxfId="319" priority="85" operator="greaterThanOrEqual">
      <formula>$L$19</formula>
    </cfRule>
  </conditionalFormatting>
  <conditionalFormatting sqref="K20">
    <cfRule type="expression" dxfId="318" priority="4">
      <formula>$B$9&gt;$K$20</formula>
    </cfRule>
  </conditionalFormatting>
  <conditionalFormatting sqref="K21">
    <cfRule type="expression" dxfId="317" priority="17">
      <formula>$B$9&gt;$K$21</formula>
    </cfRule>
  </conditionalFormatting>
  <conditionalFormatting sqref="K28:K29">
    <cfRule type="cellIs" dxfId="316" priority="44" operator="greaterThanOrEqual">
      <formula>$L$17</formula>
    </cfRule>
  </conditionalFormatting>
  <conditionalFormatting sqref="L17">
    <cfRule type="expression" dxfId="315" priority="61">
      <formula>$B$9&lt;$L$17</formula>
    </cfRule>
  </conditionalFormatting>
  <conditionalFormatting sqref="L18">
    <cfRule type="expression" dxfId="314" priority="60">
      <formula>$B$9&lt;$L$18</formula>
    </cfRule>
  </conditionalFormatting>
  <conditionalFormatting sqref="L19">
    <cfRule type="expression" dxfId="313" priority="89">
      <formula>$B$9&lt;$L$19</formula>
    </cfRule>
  </conditionalFormatting>
  <conditionalFormatting sqref="L20">
    <cfRule type="expression" dxfId="312" priority="90">
      <formula>$B$9&lt;$L$20</formula>
    </cfRule>
  </conditionalFormatting>
  <conditionalFormatting sqref="L20:L21">
    <cfRule type="containsText" dxfId="311" priority="67" operator="containsText" text="无方案">
      <formula>NOT(ISERROR(SEARCH("无方案",L20)))</formula>
    </cfRule>
  </conditionalFormatting>
  <conditionalFormatting sqref="L21">
    <cfRule type="expression" dxfId="310" priority="91">
      <formula>$B$9&lt;$L$21</formula>
    </cfRule>
  </conditionalFormatting>
  <conditionalFormatting sqref="L28">
    <cfRule type="expression" dxfId="309" priority="3">
      <formula>$B$9&lt;$L$28</formula>
    </cfRule>
  </conditionalFormatting>
  <conditionalFormatting sqref="L29">
    <cfRule type="containsText" dxfId="308" priority="1" operator="containsText" text="无方案">
      <formula>NOT(ISERROR(SEARCH("无方案",L29)))</formula>
    </cfRule>
    <cfRule type="expression" dxfId="307" priority="2">
      <formula>$B$9&lt;$L$29</formula>
    </cfRule>
  </conditionalFormatting>
  <conditionalFormatting sqref="M17">
    <cfRule type="containsText" dxfId="306" priority="88" operator="containsText" text="无方案">
      <formula>NOT(ISERROR(SEARCH("无方案",M17)))</formula>
    </cfRule>
  </conditionalFormatting>
  <conditionalFormatting sqref="M28">
    <cfRule type="containsText" dxfId="305" priority="45" operator="containsText" text="无方案">
      <formula>NOT(ISERROR(SEARCH("无方案",M28)))</formula>
    </cfRule>
  </conditionalFormatting>
  <dataValidations count="1">
    <dataValidation type="list" allowBlank="1" showInputMessage="1" showErrorMessage="1" sqref="B4" xr:uid="{D7E87C75-0622-450E-A2EB-7CE0B2094D54}">
      <formula1>INDIRECT($B$3)</formula1>
    </dataValidation>
  </dataValidations>
  <hyperlinks>
    <hyperlink ref="M2" location="试算路径!A1" display="返回" xr:uid="{D2E6A367-3D4A-496C-AF76-AF609EF38446}"/>
    <hyperlink ref="M2:M3" location="试算路径及方案简述!A1" display="返回" xr:uid="{695AA42D-7850-43D7-9772-66D7EA08CD69}"/>
  </hyperlinks>
  <pageMargins left="0.7" right="0.7" top="0.75" bottom="0.75" header="0.3" footer="0.3"/>
  <pageSetup orientation="portrait" horizontalDpi="300" verticalDpi="0" copies="0"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33F4E7-0C08-4945-ACF6-3BE2F9A47066}">
  <sheetPr>
    <tabColor rgb="FFFFC000"/>
  </sheetPr>
  <dimension ref="A1:R34"/>
  <sheetViews>
    <sheetView zoomScale="60" zoomScaleNormal="60" workbookViewId="0">
      <pane ySplit="13" topLeftCell="A23" activePane="bottomLeft" state="frozen"/>
      <selection activeCell="F9" sqref="F9"/>
      <selection pane="bottomLeft" activeCell="D5" sqref="D5"/>
    </sheetView>
  </sheetViews>
  <sheetFormatPr defaultColWidth="8.75" defaultRowHeight="16.5"/>
  <cols>
    <col min="1" max="1" width="27.75" style="23" customWidth="1"/>
    <col min="2" max="2" width="17.33203125" style="23" customWidth="1"/>
    <col min="3" max="3" width="22.75" style="23" customWidth="1"/>
    <col min="4" max="4" width="18.58203125" style="23" customWidth="1"/>
    <col min="5" max="5" width="18.08203125" style="23" customWidth="1"/>
    <col min="6" max="6" width="19.9140625" style="23" customWidth="1"/>
    <col min="7" max="8" width="17.08203125" style="23" customWidth="1"/>
    <col min="9" max="9" width="16.75" style="23" customWidth="1"/>
    <col min="10" max="10" width="62.08203125" style="23" customWidth="1"/>
    <col min="11" max="11" width="2.33203125" style="23" customWidth="1"/>
    <col min="12" max="12" width="23.08203125" style="23" customWidth="1"/>
    <col min="13" max="13" width="19.08203125" style="23" customWidth="1"/>
    <col min="14" max="14" width="2" style="23" customWidth="1"/>
    <col min="15" max="15" width="13.75" style="23" customWidth="1"/>
    <col min="16" max="16" width="7.75" style="23" customWidth="1"/>
    <col min="17" max="17" width="16.08203125" style="23" customWidth="1"/>
    <col min="18" max="18" width="2" style="23" customWidth="1"/>
    <col min="19" max="16384" width="8.75" style="23"/>
  </cols>
  <sheetData>
    <row r="1" spans="1:18" ht="7.5" customHeight="1">
      <c r="P1" s="24"/>
      <c r="Q1" s="24"/>
    </row>
    <row r="2" spans="1:18" ht="21.65" customHeight="1">
      <c r="A2" s="25" t="s">
        <v>335</v>
      </c>
      <c r="J2" s="797" t="s">
        <v>286</v>
      </c>
      <c r="L2" s="348" t="s">
        <v>84</v>
      </c>
      <c r="M2" s="349">
        <v>0.2</v>
      </c>
      <c r="N2" s="92"/>
      <c r="O2" s="92"/>
      <c r="P2" s="24"/>
      <c r="Q2" s="24"/>
    </row>
    <row r="3" spans="1:18" ht="28" customHeight="1">
      <c r="A3" s="26" t="s">
        <v>45</v>
      </c>
      <c r="B3" s="811" t="s">
        <v>568</v>
      </c>
      <c r="C3" s="811"/>
      <c r="D3" s="264"/>
      <c r="J3" s="797"/>
      <c r="L3" s="346" t="s">
        <v>46</v>
      </c>
      <c r="M3" s="350">
        <v>699</v>
      </c>
      <c r="N3" s="92"/>
      <c r="O3" s="92"/>
      <c r="P3" s="24"/>
      <c r="Q3" s="24"/>
    </row>
    <row r="4" spans="1:18" ht="34.75" customHeight="1">
      <c r="A4" s="77" t="s">
        <v>79</v>
      </c>
      <c r="B4" s="799" t="s">
        <v>581</v>
      </c>
      <c r="C4" s="799"/>
      <c r="J4" s="97"/>
      <c r="K4" s="28"/>
      <c r="L4" s="71" t="s">
        <v>47</v>
      </c>
      <c r="M4" s="351">
        <f>B6</f>
        <v>439900</v>
      </c>
      <c r="N4" s="92"/>
      <c r="O4" s="92"/>
      <c r="Q4" s="27"/>
    </row>
    <row r="5" spans="1:18" ht="22.75" customHeight="1">
      <c r="A5" s="30" t="s">
        <v>287</v>
      </c>
      <c r="B5" s="801">
        <f>VLOOKUP(B4,'厂贴车型明细&amp;贷款金额说明'!C:D,2,0)</f>
        <v>439900</v>
      </c>
      <c r="C5" s="801"/>
      <c r="D5" s="31"/>
      <c r="K5" s="32"/>
      <c r="L5" s="347" t="s">
        <v>83</v>
      </c>
      <c r="M5" s="352">
        <f>(M4*M2-M3)/(1-M2)+1</f>
        <v>109102.25</v>
      </c>
      <c r="N5" s="353" t="s">
        <v>85</v>
      </c>
      <c r="O5" s="353"/>
      <c r="Q5" s="27"/>
    </row>
    <row r="6" spans="1:18" ht="28.5" customHeight="1">
      <c r="A6" s="30" t="s">
        <v>288</v>
      </c>
      <c r="B6" s="798">
        <v>439900</v>
      </c>
      <c r="C6" s="798"/>
      <c r="D6" s="31"/>
      <c r="F6" s="802" t="s">
        <v>597</v>
      </c>
      <c r="G6" s="802"/>
      <c r="H6" s="802"/>
      <c r="I6" s="802"/>
      <c r="J6" s="802"/>
      <c r="K6" s="36"/>
      <c r="L6" s="71" t="s">
        <v>48</v>
      </c>
      <c r="M6" s="351">
        <f>M4-M3</f>
        <v>439201</v>
      </c>
      <c r="N6" s="92"/>
      <c r="O6" s="353"/>
    </row>
    <row r="7" spans="1:18" ht="38.15" customHeight="1">
      <c r="A7" s="390" t="s">
        <v>318</v>
      </c>
      <c r="B7" s="826">
        <v>0</v>
      </c>
      <c r="C7" s="827"/>
      <c r="D7" s="31"/>
      <c r="E7" s="391"/>
      <c r="F7" s="802"/>
      <c r="G7" s="802"/>
      <c r="H7" s="802"/>
      <c r="I7" s="802"/>
      <c r="J7" s="802"/>
      <c r="K7" s="32"/>
      <c r="O7" s="41"/>
    </row>
    <row r="8" spans="1:18" ht="22.75" customHeight="1">
      <c r="A8" s="42" t="s">
        <v>49</v>
      </c>
      <c r="B8" s="805">
        <f>B6+B7</f>
        <v>439900</v>
      </c>
      <c r="C8" s="805"/>
      <c r="D8" s="342" t="s">
        <v>50</v>
      </c>
      <c r="E8" s="343">
        <f>B5*115%</f>
        <v>505884.99999999994</v>
      </c>
      <c r="F8" s="802"/>
      <c r="G8" s="802"/>
      <c r="H8" s="802"/>
      <c r="I8" s="802"/>
      <c r="J8" s="802"/>
      <c r="N8" s="24"/>
    </row>
    <row r="9" spans="1:18" s="24" customFormat="1" ht="27" customHeight="1">
      <c r="A9" s="45" t="s">
        <v>245</v>
      </c>
      <c r="B9" s="813">
        <v>239000</v>
      </c>
      <c r="C9" s="813"/>
      <c r="D9" s="830" t="s">
        <v>319</v>
      </c>
      <c r="E9" s="831"/>
      <c r="F9" s="802"/>
      <c r="G9" s="802"/>
      <c r="H9" s="802"/>
      <c r="I9" s="802"/>
      <c r="J9" s="802"/>
      <c r="K9" s="46"/>
      <c r="N9" s="23"/>
    </row>
    <row r="10" spans="1:18" ht="33">
      <c r="A10" s="47" t="s">
        <v>577</v>
      </c>
      <c r="B10" s="662">
        <v>0</v>
      </c>
      <c r="C10" s="807" t="s">
        <v>130</v>
      </c>
      <c r="D10" s="808"/>
      <c r="F10" s="802"/>
      <c r="G10" s="802"/>
      <c r="H10" s="802"/>
      <c r="I10" s="802"/>
      <c r="J10" s="802"/>
      <c r="K10" s="39"/>
      <c r="L10" s="39"/>
      <c r="M10" s="28"/>
      <c r="N10" s="28"/>
    </row>
    <row r="11" spans="1:18" ht="22" customHeight="1">
      <c r="A11" s="59"/>
      <c r="B11" s="836">
        <v>0</v>
      </c>
      <c r="C11" s="836"/>
      <c r="D11" s="804" t="s">
        <v>130</v>
      </c>
      <c r="E11" s="804"/>
      <c r="F11" s="802"/>
      <c r="G11" s="802"/>
      <c r="H11" s="802"/>
      <c r="I11" s="802"/>
      <c r="J11" s="802"/>
      <c r="K11" s="49"/>
      <c r="L11" s="675" t="s">
        <v>52</v>
      </c>
      <c r="M11" s="676">
        <v>2399</v>
      </c>
      <c r="N11" s="346"/>
      <c r="O11" s="92"/>
    </row>
    <row r="12" spans="1:18" ht="28.5" customHeight="1">
      <c r="L12" s="348" t="s">
        <v>55</v>
      </c>
      <c r="M12" s="677">
        <f>PV(11.6%/12,60,-(M11+H18/60))</f>
        <v>114188.52901634373</v>
      </c>
      <c r="N12" s="92"/>
      <c r="O12" s="92"/>
      <c r="R12" s="51" t="s">
        <v>56</v>
      </c>
    </row>
    <row r="13" spans="1:18" ht="22.5" customHeight="1" thickBot="1">
      <c r="A13" s="52" t="s">
        <v>57</v>
      </c>
      <c r="B13" s="53"/>
      <c r="C13" s="54"/>
      <c r="D13" s="92"/>
    </row>
    <row r="14" spans="1:18" ht="22" customHeight="1" thickTop="1">
      <c r="A14" s="407" t="s">
        <v>578</v>
      </c>
      <c r="B14" s="409" t="s">
        <v>60</v>
      </c>
      <c r="C14" s="440" t="s">
        <v>59</v>
      </c>
      <c r="D14" s="342" t="s">
        <v>553</v>
      </c>
      <c r="E14" s="344">
        <f>VLOOKUP($B$3,'参数-车系车型 利率'!M:N,2,0)</f>
        <v>0.15</v>
      </c>
      <c r="F14" s="284"/>
      <c r="G14" s="24"/>
      <c r="H14" s="24"/>
      <c r="I14" s="55"/>
      <c r="J14" s="27"/>
      <c r="K14" s="27"/>
    </row>
    <row r="15" spans="1:18" ht="24" customHeight="1">
      <c r="A15" s="832" t="s">
        <v>372</v>
      </c>
      <c r="B15" s="362">
        <f>C15/B8</f>
        <v>0.45669470334166856</v>
      </c>
      <c r="C15" s="437">
        <f>B8-B9</f>
        <v>200900</v>
      </c>
      <c r="D15" s="310" t="s">
        <v>554</v>
      </c>
      <c r="E15" s="310"/>
      <c r="F15" s="284"/>
      <c r="G15" s="24"/>
      <c r="H15" s="24"/>
      <c r="I15" s="27"/>
      <c r="J15" s="27"/>
      <c r="K15" s="27"/>
    </row>
    <row r="16" spans="1:18" ht="1.5" customHeight="1">
      <c r="A16" s="833"/>
    </row>
    <row r="17" spans="1:17" ht="27.65" customHeight="1">
      <c r="A17" s="833"/>
      <c r="B17" s="56" t="s">
        <v>61</v>
      </c>
      <c r="C17" s="57" t="s">
        <v>234</v>
      </c>
      <c r="D17" s="285" t="s">
        <v>344</v>
      </c>
      <c r="E17" s="90" t="s">
        <v>62</v>
      </c>
      <c r="F17" s="88" t="s">
        <v>63</v>
      </c>
      <c r="G17" s="88" t="s">
        <v>306</v>
      </c>
      <c r="H17" s="464" t="s">
        <v>64</v>
      </c>
      <c r="I17" s="89" t="s">
        <v>19</v>
      </c>
      <c r="J17" s="449" t="s">
        <v>440</v>
      </c>
      <c r="K17" s="59"/>
      <c r="L17" s="60"/>
      <c r="M17" s="60" t="s">
        <v>379</v>
      </c>
    </row>
    <row r="18" spans="1:17" ht="37" customHeight="1">
      <c r="A18" s="833"/>
      <c r="B18" s="301" t="s">
        <v>38</v>
      </c>
      <c r="C18" s="282">
        <f>PMT(E18/12,60,-$B$9)</f>
        <v>5151.2611643710297</v>
      </c>
      <c r="D18" s="453">
        <f>C18*60-B9</f>
        <v>70075.669862261799</v>
      </c>
      <c r="E18" s="302">
        <f>ROUNDUP(RATE(60,-C19,B9)*12,4)</f>
        <v>0.1062</v>
      </c>
      <c r="F18" s="303">
        <f>D18/$B$9/5</f>
        <v>5.8640727918210712E-2</v>
      </c>
      <c r="G18" s="463">
        <f>D18/$B$9</f>
        <v>0.29320363959105356</v>
      </c>
      <c r="H18" s="664">
        <f>VLOOKUP($B$4,'厂贴车型明细&amp;贷款金额说明'!C:E,3,0)</f>
        <v>7082.39</v>
      </c>
      <c r="I18" s="447">
        <f>VLOOKUP(B4,'厂贴车型明细&amp;贷款金额说明'!C:N,11,0)</f>
        <v>50000</v>
      </c>
      <c r="J18" s="834" t="str">
        <f>VLOOKUP(B4,'参数-方案配置'!C:K,8,0)</f>
        <v>个人申请：厂贴_双优贷2.0_新优速贷_60期</v>
      </c>
      <c r="K18" s="59"/>
      <c r="L18" s="65" t="s">
        <v>67</v>
      </c>
      <c r="M18" s="787">
        <v>30</v>
      </c>
      <c r="N18" s="787"/>
      <c r="O18" s="456" t="s">
        <v>377</v>
      </c>
      <c r="P18" s="66"/>
      <c r="Q18" s="67"/>
    </row>
    <row r="19" spans="1:17" ht="22" customHeight="1">
      <c r="A19" s="833"/>
      <c r="B19" s="61"/>
      <c r="C19" s="364">
        <f>ROUNDUP(PMT(VLOOKUP(B4,'参数-车系车型 利率'!B:N,13,0)/12,60,-$B$9)-(H18+B10)/60,2)</f>
        <v>5150.2</v>
      </c>
      <c r="D19" s="78"/>
      <c r="E19" s="62"/>
      <c r="F19" s="63"/>
      <c r="G19" s="64"/>
      <c r="H19" s="64"/>
      <c r="I19" s="448"/>
      <c r="J19" s="835"/>
      <c r="K19" s="59"/>
      <c r="L19" s="65" t="s">
        <v>69</v>
      </c>
      <c r="M19" s="795">
        <f>B9-(C18*M18-M21)</f>
        <v>135202.51640928665</v>
      </c>
      <c r="N19" s="795"/>
      <c r="O19" s="68"/>
      <c r="P19" s="66"/>
      <c r="Q19" s="67"/>
    </row>
    <row r="20" spans="1:17" ht="22" customHeight="1">
      <c r="K20" s="59"/>
      <c r="L20" s="69" t="s">
        <v>70</v>
      </c>
      <c r="M20" s="796">
        <f>D18-M21</f>
        <v>19335.318521844252</v>
      </c>
      <c r="N20" s="796"/>
      <c r="O20" s="68"/>
      <c r="P20" s="66"/>
      <c r="Q20" s="67"/>
    </row>
    <row r="21" spans="1:17" ht="22" customHeight="1">
      <c r="K21" s="70"/>
      <c r="L21" s="71" t="s">
        <v>71</v>
      </c>
      <c r="M21" s="782">
        <f>(B9*(E18/12)-C18)*((1+(E18/12))^(M18)-1)/(E18/12)+(C18)*M18</f>
        <v>50740.351340417546</v>
      </c>
      <c r="N21" s="782"/>
      <c r="O21" s="72"/>
      <c r="P21" s="72"/>
      <c r="Q21" s="72"/>
    </row>
    <row r="24" spans="1:17" ht="22" customHeight="1">
      <c r="A24" s="407" t="s">
        <v>381</v>
      </c>
      <c r="B24" s="409" t="s">
        <v>60</v>
      </c>
      <c r="C24" s="440" t="s">
        <v>59</v>
      </c>
      <c r="D24" s="342" t="s">
        <v>553</v>
      </c>
      <c r="E24" s="344">
        <f>VLOOKUP($B$3,'参数-车系车型 利率'!M:N,2,0)</f>
        <v>0.15</v>
      </c>
      <c r="F24" s="284"/>
      <c r="G24" s="24"/>
      <c r="H24" s="24"/>
      <c r="I24" s="55"/>
      <c r="J24" s="27"/>
      <c r="K24" s="27"/>
    </row>
    <row r="25" spans="1:17" ht="24" customHeight="1">
      <c r="A25" s="832" t="s">
        <v>393</v>
      </c>
      <c r="B25" s="362">
        <f>C15/B8</f>
        <v>0.45669470334166856</v>
      </c>
      <c r="C25" s="437">
        <f>B8-B9</f>
        <v>200900</v>
      </c>
      <c r="D25" s="310" t="s">
        <v>554</v>
      </c>
      <c r="E25" s="310"/>
      <c r="F25" s="284"/>
      <c r="G25" s="24"/>
      <c r="H25" s="24"/>
      <c r="I25" s="27"/>
      <c r="J25" s="27"/>
      <c r="K25" s="27"/>
    </row>
    <row r="26" spans="1:17" ht="1.5" customHeight="1">
      <c r="A26" s="833"/>
    </row>
    <row r="27" spans="1:17" ht="22" customHeight="1">
      <c r="A27" s="833"/>
      <c r="B27" s="56" t="s">
        <v>61</v>
      </c>
      <c r="C27" s="57" t="s">
        <v>234</v>
      </c>
      <c r="D27" s="285" t="s">
        <v>344</v>
      </c>
      <c r="E27" s="90" t="s">
        <v>62</v>
      </c>
      <c r="F27" s="88" t="s">
        <v>63</v>
      </c>
      <c r="G27" s="88" t="s">
        <v>306</v>
      </c>
      <c r="H27" s="464" t="s">
        <v>64</v>
      </c>
      <c r="I27" s="89" t="s">
        <v>19</v>
      </c>
      <c r="J27" s="449" t="s">
        <v>440</v>
      </c>
      <c r="K27" s="59"/>
      <c r="L27" s="60"/>
      <c r="M27" s="60" t="s">
        <v>379</v>
      </c>
    </row>
    <row r="28" spans="1:17" ht="37" customHeight="1">
      <c r="A28" s="833"/>
      <c r="B28" s="301" t="s">
        <v>38</v>
      </c>
      <c r="C28" s="282">
        <f>PMT(E28/12,60,-$B$9)</f>
        <v>4925.3660010550757</v>
      </c>
      <c r="D28" s="453">
        <f>C28*60-B9</f>
        <v>56521.960063304519</v>
      </c>
      <c r="E28" s="302">
        <f>ROUNDUP(RATE(60,-C29,B9)*12,4)</f>
        <v>8.6900000000000005E-2</v>
      </c>
      <c r="F28" s="303">
        <f>D28/$B$9/5</f>
        <v>4.7298711350045625E-2</v>
      </c>
      <c r="G28" s="463">
        <f>D28/$B$9</f>
        <v>0.23649355675022812</v>
      </c>
      <c r="H28" s="664">
        <f>VLOOKUP($B$4,'厂贴车型明细&amp;贷款金额说明'!C:E,3,0)</f>
        <v>7082.39</v>
      </c>
      <c r="I28" s="447">
        <f>VLOOKUP(B4,'厂贴车型明细&amp;贷款金额说明'!C:N,12,0)</f>
        <v>50000</v>
      </c>
      <c r="J28" s="834" t="str">
        <f>VLOOKUP(B4,'参数-方案配置'!C:K,9,0)</f>
        <v>个人申请：厂贴_双优贷1.0_新优速贷_60期</v>
      </c>
      <c r="K28" s="59"/>
      <c r="L28" s="65" t="s">
        <v>67</v>
      </c>
      <c r="M28" s="787">
        <v>12</v>
      </c>
      <c r="N28" s="787"/>
      <c r="O28" s="456" t="s">
        <v>377</v>
      </c>
      <c r="P28" s="66"/>
      <c r="Q28" s="67"/>
    </row>
    <row r="29" spans="1:17" ht="22" customHeight="1">
      <c r="A29" s="833"/>
      <c r="B29" s="61"/>
      <c r="C29" s="364">
        <f>ROUNDUP(PMT(VLOOKUP(B4,'参数-车系车型 利率'!B:Q,14,0)/12,60,-$B$9)-(H18+B10)/60,2)</f>
        <v>4924.8</v>
      </c>
      <c r="D29" s="78"/>
      <c r="E29" s="62"/>
      <c r="F29" s="63"/>
      <c r="G29" s="64"/>
      <c r="H29" s="64"/>
      <c r="I29" s="448"/>
      <c r="J29" s="835"/>
      <c r="K29" s="59"/>
      <c r="L29" s="65" t="s">
        <v>69</v>
      </c>
      <c r="M29" s="795">
        <f>B9-(C28*M28-M31)</f>
        <v>199100.38093030092</v>
      </c>
      <c r="N29" s="795"/>
      <c r="O29" s="68"/>
      <c r="P29" s="66"/>
      <c r="Q29" s="67"/>
    </row>
    <row r="30" spans="1:17" ht="22" customHeight="1">
      <c r="K30" s="59"/>
      <c r="L30" s="69" t="s">
        <v>70</v>
      </c>
      <c r="M30" s="796">
        <f>D28-M31</f>
        <v>37317.187120342678</v>
      </c>
      <c r="N30" s="796"/>
      <c r="O30" s="68"/>
      <c r="P30" s="66"/>
      <c r="Q30" s="67"/>
    </row>
    <row r="31" spans="1:17" ht="22" customHeight="1">
      <c r="K31" s="70"/>
      <c r="L31" s="71" t="s">
        <v>71</v>
      </c>
      <c r="M31" s="782">
        <f>(B9*(E28/12)-C28)*((1+(E28/12))^(M28)-1)/(E28/12)+(C28)*M28</f>
        <v>19204.772942961841</v>
      </c>
      <c r="N31" s="782"/>
      <c r="O31" s="72"/>
      <c r="P31" s="72"/>
      <c r="Q31" s="72"/>
    </row>
    <row r="33" s="23" customFormat="1"/>
    <row r="34" s="23" customFormat="1"/>
  </sheetData>
  <sheetProtection algorithmName="SHA-512" hashValue="043LXqiGOfQbnXlp9jjOqOgjXmwMYmvtW3o5DQ+tezwX9xTeylxFHX6AlkdOFfQmQjOSv6xiT6zU/BxYX+FekA==" saltValue="W+qJkZcPPtR6FY5sR3ufvA==" spinCount="100000" sheet="1" objects="1" scenarios="1"/>
  <mergeCells count="25">
    <mergeCell ref="M30:N30"/>
    <mergeCell ref="M31:N31"/>
    <mergeCell ref="C10:D10"/>
    <mergeCell ref="M20:N20"/>
    <mergeCell ref="M21:N21"/>
    <mergeCell ref="A25:A29"/>
    <mergeCell ref="J28:J29"/>
    <mergeCell ref="M28:N28"/>
    <mergeCell ref="M29:N29"/>
    <mergeCell ref="B11:C11"/>
    <mergeCell ref="D11:E11"/>
    <mergeCell ref="A15:A19"/>
    <mergeCell ref="J18:J19"/>
    <mergeCell ref="M18:N18"/>
    <mergeCell ref="M19:N19"/>
    <mergeCell ref="J2:J3"/>
    <mergeCell ref="B3:C3"/>
    <mergeCell ref="B4:C4"/>
    <mergeCell ref="B5:C5"/>
    <mergeCell ref="B6:C6"/>
    <mergeCell ref="F6:J11"/>
    <mergeCell ref="B7:C7"/>
    <mergeCell ref="B8:C8"/>
    <mergeCell ref="B9:C9"/>
    <mergeCell ref="D9:E9"/>
  </mergeCells>
  <phoneticPr fontId="1" type="noConversion"/>
  <conditionalFormatting sqref="B19 D19:F19">
    <cfRule type="expression" dxfId="304" priority="28">
      <formula>$B$9&lt;$I$19</formula>
    </cfRule>
    <cfRule type="expression" dxfId="303" priority="29">
      <formula>$E$19&lt;-0.001%</formula>
    </cfRule>
  </conditionalFormatting>
  <conditionalFormatting sqref="B29 D29:F29">
    <cfRule type="expression" dxfId="302" priority="11">
      <formula>$B$9&lt;$I$19</formula>
    </cfRule>
    <cfRule type="expression" dxfId="301" priority="12">
      <formula>$E$19&lt;-0.001%</formula>
    </cfRule>
  </conditionalFormatting>
  <conditionalFormatting sqref="B18:F18">
    <cfRule type="expression" dxfId="300" priority="26">
      <formula>$B$9&lt;$I$18</formula>
    </cfRule>
    <cfRule type="expression" dxfId="299" priority="27">
      <formula>$E$18&lt;-0.001%</formula>
    </cfRule>
  </conditionalFormatting>
  <conditionalFormatting sqref="B28:F28">
    <cfRule type="expression" dxfId="298" priority="10">
      <formula>$B$9&lt;$I$18</formula>
    </cfRule>
  </conditionalFormatting>
  <conditionalFormatting sqref="C10">
    <cfRule type="expression" dxfId="297" priority="2">
      <formula>$B$10&gt;0</formula>
    </cfRule>
  </conditionalFormatting>
  <conditionalFormatting sqref="C15">
    <cfRule type="expression" dxfId="296" priority="18">
      <formula>$C$15&lt;$E$14</formula>
    </cfRule>
  </conditionalFormatting>
  <conditionalFormatting sqref="C19">
    <cfRule type="expression" dxfId="295" priority="24">
      <formula>$B$9&lt;#REF!</formula>
    </cfRule>
    <cfRule type="expression" dxfId="294" priority="25">
      <formula>#REF!&lt;-0.001%</formula>
    </cfRule>
  </conditionalFormatting>
  <conditionalFormatting sqref="C25">
    <cfRule type="expression" dxfId="293" priority="5">
      <formula>$C$15&lt;$E$14</formula>
    </cfRule>
  </conditionalFormatting>
  <conditionalFormatting sqref="C29">
    <cfRule type="expression" dxfId="292" priority="8">
      <formula>$B$9&lt;#REF!</formula>
    </cfRule>
    <cfRule type="expression" dxfId="291" priority="9">
      <formula>#REF!&lt;-0.001%</formula>
    </cfRule>
  </conditionalFormatting>
  <conditionalFormatting sqref="D3">
    <cfRule type="expression" dxfId="290" priority="20">
      <formula>$B$3="新君威"</formula>
    </cfRule>
  </conditionalFormatting>
  <conditionalFormatting sqref="D11">
    <cfRule type="expression" dxfId="289" priority="21">
      <formula>$B$11&gt;0</formula>
    </cfRule>
  </conditionalFormatting>
  <conditionalFormatting sqref="D14:D15">
    <cfRule type="expression" dxfId="288" priority="17">
      <formula>$B$15&lt;$E$14</formula>
    </cfRule>
  </conditionalFormatting>
  <conditionalFormatting sqref="D24:D25">
    <cfRule type="expression" dxfId="287" priority="4">
      <formula>$B$15&lt;$E$14</formula>
    </cfRule>
  </conditionalFormatting>
  <conditionalFormatting sqref="D8:E8">
    <cfRule type="expression" dxfId="286" priority="15">
      <formula>$B$8&gt;$E$8</formula>
    </cfRule>
  </conditionalFormatting>
  <conditionalFormatting sqref="D9:E9">
    <cfRule type="expression" dxfId="285" priority="19">
      <formula>$B$9&gt;=$B$6</formula>
    </cfRule>
  </conditionalFormatting>
  <conditionalFormatting sqref="E14">
    <cfRule type="expression" dxfId="284" priority="16">
      <formula>$B$15&lt;$E$14</formula>
    </cfRule>
  </conditionalFormatting>
  <conditionalFormatting sqref="E18">
    <cfRule type="expression" dxfId="283" priority="1">
      <formula>$E$18&lt;2.99%</formula>
    </cfRule>
  </conditionalFormatting>
  <conditionalFormatting sqref="E24">
    <cfRule type="expression" dxfId="282" priority="3">
      <formula>$B$15&lt;$E$14</formula>
    </cfRule>
  </conditionalFormatting>
  <conditionalFormatting sqref="I18">
    <cfRule type="expression" dxfId="281" priority="30">
      <formula>$B$9&lt;$I18</formula>
    </cfRule>
  </conditionalFormatting>
  <conditionalFormatting sqref="I19">
    <cfRule type="expression" dxfId="280" priority="23">
      <formula>#REF!&lt;$I19</formula>
    </cfRule>
  </conditionalFormatting>
  <conditionalFormatting sqref="I28">
    <cfRule type="expression" dxfId="279" priority="13">
      <formula>$B$9&lt;$I28</formula>
    </cfRule>
  </conditionalFormatting>
  <conditionalFormatting sqref="I29">
    <cfRule type="expression" dxfId="278" priority="7">
      <formula>#REF!&lt;$I29</formula>
    </cfRule>
  </conditionalFormatting>
  <conditionalFormatting sqref="J18">
    <cfRule type="containsText" dxfId="277" priority="22" operator="containsText" text="无方案">
      <formula>NOT(ISERROR(SEARCH("无方案",J18)))</formula>
    </cfRule>
  </conditionalFormatting>
  <conditionalFormatting sqref="J28">
    <cfRule type="containsText" dxfId="276" priority="6" operator="containsText" text="无方案">
      <formula>NOT(ISERROR(SEARCH("无方案",J28)))</formula>
    </cfRule>
  </conditionalFormatting>
  <dataValidations count="2">
    <dataValidation type="list" allowBlank="1" showInputMessage="1" showErrorMessage="1" sqref="M2" xr:uid="{D47CF3C5-618C-42F8-B2C6-DB434C5ED6F8}">
      <formula1>"20%,15%"</formula1>
    </dataValidation>
    <dataValidation type="list" allowBlank="1" showInputMessage="1" showErrorMessage="1" sqref="B4" xr:uid="{698258B2-2E27-44D7-B86B-8F4512E8E6CC}">
      <formula1>INDIRECT($B$3)</formula1>
    </dataValidation>
  </dataValidations>
  <hyperlinks>
    <hyperlink ref="J2" location="试算路径!A1" display="返回" xr:uid="{3B9F504C-824D-4A32-B141-1EA49D9791DD}"/>
    <hyperlink ref="J2:J3" location="试算路径及方案简述!A1" display="返回" xr:uid="{636A1684-FB8C-485F-AF7D-CECBC4E726F3}"/>
  </hyperlinks>
  <pageMargins left="0.7" right="0.7" top="0.75" bottom="0.75" header="0.3" footer="0.3"/>
  <pageSetup orientation="portrait" horizontalDpi="300" verticalDpi="0" copies="0"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BEA60A-3E86-4D09-9CFD-9E8368C24098}">
  <sheetPr>
    <tabColor theme="5" tint="0.79998168889431442"/>
  </sheetPr>
  <dimension ref="A1:U21"/>
  <sheetViews>
    <sheetView zoomScale="60" zoomScaleNormal="60" workbookViewId="0">
      <pane ySplit="11" topLeftCell="A12" activePane="bottomLeft" state="frozen"/>
      <selection pane="bottomLeft" activeCell="B4" sqref="B4:C4"/>
    </sheetView>
  </sheetViews>
  <sheetFormatPr defaultColWidth="8.75" defaultRowHeight="16.5"/>
  <cols>
    <col min="1" max="1" width="21.9140625" style="23" customWidth="1"/>
    <col min="2" max="2" width="17.33203125" style="23" customWidth="1"/>
    <col min="3" max="3" width="23.33203125" style="23" customWidth="1"/>
    <col min="4" max="4" width="18.9140625" style="23" customWidth="1"/>
    <col min="5" max="5" width="23" style="23" customWidth="1"/>
    <col min="6" max="6" width="20" style="23" customWidth="1"/>
    <col min="7" max="7" width="17.33203125" style="23" customWidth="1"/>
    <col min="8" max="8" width="20.08203125" style="23" customWidth="1"/>
    <col min="9" max="10" width="17.08203125" style="23" hidden="1" customWidth="1"/>
    <col min="11" max="11" width="17.75" style="23" customWidth="1"/>
    <col min="12" max="12" width="16.75" style="23" customWidth="1"/>
    <col min="13" max="13" width="73.08203125" style="23" customWidth="1"/>
    <col min="14" max="14" width="2.33203125" style="23" customWidth="1"/>
    <col min="15" max="15" width="23.08203125" style="23" customWidth="1"/>
    <col min="16" max="16" width="19.08203125" style="23" customWidth="1"/>
    <col min="17" max="17" width="11.75" style="23" customWidth="1"/>
    <col min="18" max="18" width="13.4140625" style="23" customWidth="1"/>
    <col min="19" max="19" width="7.75" style="23" customWidth="1"/>
    <col min="20" max="20" width="16.08203125" style="23" customWidth="1"/>
    <col min="21" max="21" width="2" style="23" customWidth="1"/>
    <col min="22" max="16384" width="8.75" style="23"/>
  </cols>
  <sheetData>
    <row r="1" spans="1:21" ht="7.5" customHeight="1">
      <c r="S1" s="24"/>
      <c r="T1" s="24"/>
    </row>
    <row r="2" spans="1:21" ht="21.65" customHeight="1">
      <c r="A2" s="25" t="s">
        <v>335</v>
      </c>
      <c r="E2" s="25" t="s">
        <v>509</v>
      </c>
      <c r="M2" s="810" t="s">
        <v>286</v>
      </c>
      <c r="S2" s="24"/>
      <c r="T2" s="24"/>
    </row>
    <row r="3" spans="1:21" ht="30" customHeight="1">
      <c r="A3" s="26" t="s">
        <v>45</v>
      </c>
      <c r="B3" s="798" t="s">
        <v>493</v>
      </c>
      <c r="C3" s="798"/>
      <c r="D3" s="264"/>
      <c r="E3" s="390" t="s">
        <v>510</v>
      </c>
      <c r="F3" s="599">
        <v>0</v>
      </c>
      <c r="M3" s="810"/>
      <c r="S3" s="24"/>
      <c r="T3" s="24"/>
    </row>
    <row r="4" spans="1:21" ht="28" customHeight="1">
      <c r="A4" s="77" t="s">
        <v>79</v>
      </c>
      <c r="B4" s="799" t="s">
        <v>611</v>
      </c>
      <c r="C4" s="800"/>
      <c r="E4" s="30" t="s">
        <v>511</v>
      </c>
      <c r="F4" s="599">
        <v>0</v>
      </c>
      <c r="H4" s="809" t="s">
        <v>520</v>
      </c>
      <c r="I4" s="809"/>
      <c r="J4" s="809"/>
      <c r="K4" s="809"/>
      <c r="L4" s="809"/>
      <c r="M4" s="809"/>
      <c r="N4" s="28"/>
      <c r="T4" s="27"/>
    </row>
    <row r="5" spans="1:21" ht="22.5" customHeight="1">
      <c r="A5" s="30" t="s">
        <v>287</v>
      </c>
      <c r="B5" s="801">
        <f>VLOOKUP(B4,'厂贴车型明细&amp;贷款金额说明'!C:D,2,0)</f>
        <v>339900</v>
      </c>
      <c r="C5" s="801"/>
      <c r="D5" s="31"/>
      <c r="E5" s="58" t="s">
        <v>512</v>
      </c>
      <c r="F5" s="600" t="e">
        <f>(F3-F4)/F3</f>
        <v>#DIV/0!</v>
      </c>
      <c r="H5" s="809"/>
      <c r="I5" s="809"/>
      <c r="J5" s="809"/>
      <c r="K5" s="809"/>
      <c r="L5" s="809"/>
      <c r="M5" s="809"/>
      <c r="N5" s="32"/>
      <c r="T5" s="27"/>
    </row>
    <row r="6" spans="1:21" ht="27.5" customHeight="1">
      <c r="A6" s="30" t="s">
        <v>288</v>
      </c>
      <c r="B6" s="798">
        <v>339900</v>
      </c>
      <c r="C6" s="798"/>
      <c r="D6" s="35"/>
      <c r="E6" s="812" t="s">
        <v>513</v>
      </c>
      <c r="F6" s="812"/>
      <c r="H6" s="809"/>
      <c r="I6" s="809"/>
      <c r="J6" s="809"/>
      <c r="K6" s="809"/>
      <c r="L6" s="809"/>
      <c r="M6" s="809"/>
      <c r="N6" s="36"/>
    </row>
    <row r="7" spans="1:21" ht="29" customHeight="1">
      <c r="A7" s="45" t="s">
        <v>507</v>
      </c>
      <c r="B7" s="813">
        <v>185000</v>
      </c>
      <c r="C7" s="813"/>
      <c r="D7" s="43"/>
      <c r="E7" s="45" t="s">
        <v>514</v>
      </c>
      <c r="F7" s="609">
        <f>B6+F3</f>
        <v>339900</v>
      </c>
      <c r="H7" s="809"/>
      <c r="I7" s="809"/>
      <c r="J7" s="809"/>
      <c r="K7" s="809"/>
      <c r="L7" s="809"/>
      <c r="M7" s="809"/>
    </row>
    <row r="8" spans="1:21" s="24" customFormat="1" ht="22.4" customHeight="1">
      <c r="A8" s="58" t="s">
        <v>508</v>
      </c>
      <c r="B8" s="600">
        <f>(B6-B7)/B6</f>
        <v>0.45572227125625187</v>
      </c>
      <c r="C8" s="342" t="s">
        <v>556</v>
      </c>
      <c r="D8" s="612">
        <f>VLOOKUP($B$3,'参数-车系车型 利率'!M:N,2,0)</f>
        <v>0.15</v>
      </c>
      <c r="E8" s="614" t="s">
        <v>521</v>
      </c>
      <c r="F8" s="613">
        <f>B5*115%</f>
        <v>390884.99999999994</v>
      </c>
      <c r="G8" s="23"/>
      <c r="H8" s="809"/>
      <c r="I8" s="809"/>
      <c r="J8" s="809"/>
      <c r="K8" s="809"/>
      <c r="L8" s="809"/>
      <c r="M8" s="809"/>
      <c r="N8" s="46"/>
      <c r="O8" s="23"/>
      <c r="P8" s="23"/>
      <c r="Q8" s="23"/>
      <c r="R8" s="23"/>
    </row>
    <row r="9" spans="1:21" ht="33" hidden="1" customHeight="1">
      <c r="A9" s="47" t="s">
        <v>53</v>
      </c>
      <c r="B9" s="663">
        <v>0</v>
      </c>
      <c r="C9" s="672"/>
      <c r="D9" s="803" t="s">
        <v>130</v>
      </c>
      <c r="E9" s="804"/>
      <c r="F9" s="671"/>
      <c r="G9" s="671"/>
      <c r="H9" s="671"/>
      <c r="I9" s="671"/>
      <c r="J9" s="671"/>
      <c r="K9" s="671"/>
      <c r="L9" s="671"/>
      <c r="M9" s="671"/>
      <c r="N9" s="49"/>
    </row>
    <row r="10" spans="1:21" ht="16.5" customHeight="1">
      <c r="B10" s="310" t="s">
        <v>518</v>
      </c>
      <c r="E10" s="493"/>
      <c r="U10" s="51" t="s">
        <v>56</v>
      </c>
    </row>
    <row r="11" spans="1:21" ht="22.5" customHeight="1" thickBot="1">
      <c r="A11" s="52" t="s">
        <v>57</v>
      </c>
      <c r="B11" s="53"/>
      <c r="C11" s="54"/>
      <c r="D11" s="611"/>
    </row>
    <row r="12" spans="1:21" ht="27" customHeight="1" thickTop="1">
      <c r="A12" s="407" t="s">
        <v>361</v>
      </c>
      <c r="B12" s="610" t="s">
        <v>515</v>
      </c>
      <c r="C12" s="440" t="s">
        <v>516</v>
      </c>
      <c r="D12" s="309" t="s">
        <v>517</v>
      </c>
      <c r="E12" s="344">
        <f>VLOOKUP($B$3,'参数-车系车型 利率'!M:N,2,0)</f>
        <v>0.15</v>
      </c>
      <c r="H12" s="271"/>
      <c r="I12" s="311"/>
      <c r="J12" s="264"/>
      <c r="K12" s="367"/>
      <c r="L12" s="310"/>
      <c r="M12" s="27"/>
      <c r="N12" s="27"/>
    </row>
    <row r="13" spans="1:21" ht="22" customHeight="1">
      <c r="A13" s="837" t="s">
        <v>371</v>
      </c>
      <c r="B13" s="437">
        <f>B7+F4</f>
        <v>185000</v>
      </c>
      <c r="C13" s="437">
        <f>F7-B7-F4</f>
        <v>154900</v>
      </c>
      <c r="D13" s="362">
        <f>C13/F7</f>
        <v>0.45572227125625187</v>
      </c>
      <c r="E13" s="323"/>
      <c r="F13" s="438"/>
      <c r="G13" s="325"/>
      <c r="H13" s="337"/>
      <c r="I13" s="438"/>
      <c r="J13" s="325"/>
      <c r="K13" s="325"/>
      <c r="L13" s="438"/>
      <c r="M13" s="92"/>
      <c r="N13" s="27"/>
    </row>
    <row r="14" spans="1:21" ht="2.5" customHeight="1">
      <c r="A14" s="837"/>
      <c r="B14" s="425"/>
      <c r="C14" s="439"/>
      <c r="D14" s="339"/>
      <c r="E14" s="339"/>
      <c r="F14" s="339"/>
      <c r="G14" s="339"/>
      <c r="H14" s="339"/>
      <c r="I14" s="339"/>
      <c r="J14" s="339"/>
      <c r="K14" s="339"/>
      <c r="L14" s="339"/>
      <c r="M14" s="426"/>
    </row>
    <row r="15" spans="1:21" ht="37" customHeight="1">
      <c r="A15" s="837"/>
      <c r="B15" s="77" t="s">
        <v>61</v>
      </c>
      <c r="C15" s="314" t="s">
        <v>234</v>
      </c>
      <c r="D15" s="316" t="s">
        <v>344</v>
      </c>
      <c r="E15" s="316" t="s">
        <v>276</v>
      </c>
      <c r="F15" s="316" t="s">
        <v>277</v>
      </c>
      <c r="G15" s="88" t="s">
        <v>306</v>
      </c>
      <c r="H15" s="462" t="s">
        <v>64</v>
      </c>
      <c r="I15" s="317" t="s">
        <v>266</v>
      </c>
      <c r="J15" s="317" t="s">
        <v>265</v>
      </c>
      <c r="K15" s="494" t="s">
        <v>407</v>
      </c>
      <c r="L15" s="494" t="s">
        <v>519</v>
      </c>
      <c r="M15" s="58" t="s">
        <v>440</v>
      </c>
      <c r="N15" s="59"/>
      <c r="O15" s="60"/>
      <c r="P15" s="60" t="s">
        <v>378</v>
      </c>
    </row>
    <row r="16" spans="1:21" ht="31" customHeight="1">
      <c r="A16" s="837"/>
      <c r="B16" s="427" t="s">
        <v>38</v>
      </c>
      <c r="C16" s="282">
        <f>ROUNDUP(PMT(VLOOKUP(B4,'参数-车系车型 利率'!B:I,2,0)/12,60,-$B$7)-(H16+B9)/60,2)+(PMT(10%/12,60,-F4))</f>
        <v>3451.65</v>
      </c>
      <c r="D16" s="561">
        <f>C16*60-B7-F4</f>
        <v>22099</v>
      </c>
      <c r="E16" s="335">
        <f>RATE(60,-C16,(B7+F4))*12</f>
        <v>4.5319868256728867E-2</v>
      </c>
      <c r="F16" s="335">
        <f>D16/(B7+F4)/5</f>
        <v>2.3890810810810813E-2</v>
      </c>
      <c r="G16" s="335">
        <f>D16/(B7+F4)</f>
        <v>0.11945405405405406</v>
      </c>
      <c r="H16" s="504">
        <f>MIN($I$16,J16)</f>
        <v>7443.8099999999995</v>
      </c>
      <c r="I16" s="819">
        <f>VLOOKUP($B$4,'厂贴车型明细&amp;贷款金额说明'!C:E,3,0)</f>
        <v>7443.8099999999995</v>
      </c>
      <c r="J16" s="505">
        <f>$B$7*VLOOKUP(B16,'参数-车系车型 利率'!$B$78:$C$83,2,0)</f>
        <v>29546.35</v>
      </c>
      <c r="K16" s="321">
        <f>ROUNDUP(I16/VLOOKUP(B16,'参数-车系车型 利率'!B78:C83,2,0),0)-1</f>
        <v>46608</v>
      </c>
      <c r="L16" s="428">
        <f>VLOOKUP($B$4,'厂贴车型明细&amp;贷款金额说明'!C:K,9,0)</f>
        <v>160000</v>
      </c>
      <c r="M16" s="816" t="str">
        <f>VLOOKUP(B4,'参数-方案配置'!C:E,2,0)</f>
        <v xml:space="preserve">个人申请：厂贴_5.99贴息 新优速贷/个体工商户升级 18期/24-60期 </v>
      </c>
      <c r="N16" s="59"/>
      <c r="O16" s="65" t="s">
        <v>67</v>
      </c>
      <c r="P16" s="787">
        <v>24</v>
      </c>
      <c r="Q16" s="787"/>
      <c r="R16" s="456" t="s">
        <v>370</v>
      </c>
      <c r="S16" s="66"/>
      <c r="T16" s="67"/>
    </row>
    <row r="17" spans="1:20" ht="31" customHeight="1">
      <c r="A17" s="837"/>
      <c r="B17" s="427" t="s">
        <v>39</v>
      </c>
      <c r="C17" s="282">
        <f>ROUNDUP(PMT(VLOOKUP(B4,'参数-车系车型 利率'!B:I,3,0)/12,48,-$B$7)-(H17+B9)/48,2)+(PMT(10%/12,48,-F4))</f>
        <v>4188.8100000000004</v>
      </c>
      <c r="D17" s="561">
        <f>C17*48-B7-F4</f>
        <v>16062.880000000005</v>
      </c>
      <c r="E17" s="335">
        <f>RATE(48,-C17,(B7+F4))*12</f>
        <v>4.1410252633258419E-2</v>
      </c>
      <c r="F17" s="335">
        <f>D17/(B7+F4)/4</f>
        <v>2.1706594594594602E-2</v>
      </c>
      <c r="G17" s="335">
        <f>D17/(B7+F4)</f>
        <v>8.6826378378378408E-2</v>
      </c>
      <c r="H17" s="504">
        <f>MIN($I$16,J17)</f>
        <v>7443.8099999999995</v>
      </c>
      <c r="I17" s="820"/>
      <c r="J17" s="505">
        <f>$B$7*VLOOKUP(B17,'参数-车系车型 利率'!$B$78:$C$83,2,0)</f>
        <v>23510.817499999997</v>
      </c>
      <c r="K17" s="321">
        <f>ROUNDUP(I16/VLOOKUP(B17,'参数-车系车型 利率'!B78:C83,2,0),0)-1</f>
        <v>58573</v>
      </c>
      <c r="L17" s="428">
        <f>VLOOKUP($B$4,'厂贴车型明细&amp;贷款金额说明'!C:K,8,0)</f>
        <v>160000</v>
      </c>
      <c r="M17" s="817"/>
      <c r="N17" s="59"/>
      <c r="O17" s="65" t="s">
        <v>69</v>
      </c>
      <c r="P17" s="795">
        <f>B13-(C16*P16-P19)</f>
        <v>115978.10100781737</v>
      </c>
      <c r="Q17" s="795"/>
      <c r="R17" s="68"/>
      <c r="S17" s="66"/>
      <c r="T17" s="67"/>
    </row>
    <row r="18" spans="1:20" ht="31" customHeight="1">
      <c r="A18" s="837"/>
      <c r="B18" s="427" t="s">
        <v>40</v>
      </c>
      <c r="C18" s="283">
        <f>ROUNDUP(PMT(VLOOKUP(B4,'参数-车系车型 利率'!B:I,4,0)/12,36,-$B$7)-(H18+B9)/36,2)+(PMT(10%/12,36,-F4))</f>
        <v>5420.45</v>
      </c>
      <c r="D18" s="562">
        <f>C18*36-B7-F4</f>
        <v>10136.199999999983</v>
      </c>
      <c r="E18" s="335">
        <f>RATE(36,-C18,(B7+F4))*12</f>
        <v>3.4946924469692373E-2</v>
      </c>
      <c r="F18" s="335">
        <f>D18/(B7+F4)/3</f>
        <v>1.8263423423423391E-2</v>
      </c>
      <c r="G18" s="335">
        <f>D18/(B7+F4)</f>
        <v>5.4790270270270176E-2</v>
      </c>
      <c r="H18" s="504">
        <f>MIN($I$16,J18)</f>
        <v>7443.8099999999995</v>
      </c>
      <c r="I18" s="820"/>
      <c r="J18" s="505">
        <f>$B$7*VLOOKUP(B18,'参数-车系车型 利率'!$B$78:$C$83,2,0)</f>
        <v>17581.121650000001</v>
      </c>
      <c r="K18" s="321">
        <f>ROUNDUP(I16/VLOOKUP(B18,'参数-车系车型 利率'!B78:C83,2,0),0)-1</f>
        <v>78328</v>
      </c>
      <c r="L18" s="428">
        <f>VLOOKUP($B$4,'厂贴车型明细&amp;贷款金额说明'!C:K,7,0)</f>
        <v>160000</v>
      </c>
      <c r="M18" s="817"/>
      <c r="N18" s="59"/>
      <c r="O18" s="69" t="s">
        <v>70</v>
      </c>
      <c r="P18" s="822">
        <f>D16-P19</f>
        <v>8281.2989921826229</v>
      </c>
      <c r="Q18" s="822"/>
      <c r="R18" s="68"/>
      <c r="S18" s="66"/>
      <c r="T18" s="67"/>
    </row>
    <row r="19" spans="1:20" ht="31" customHeight="1">
      <c r="A19" s="837"/>
      <c r="B19" s="427" t="s">
        <v>41</v>
      </c>
      <c r="C19" s="283">
        <f>ROUNDUP(PMT(VLOOKUP(B4,'参数-车系车型 利率'!B:I,5,0)/12,24,-$B$7)-(H19+B9)/24,2)+(PMT(10%/12,24,-F4))</f>
        <v>7888.33</v>
      </c>
      <c r="D19" s="562">
        <f>C19*24-B7-F4</f>
        <v>4319.9199999999837</v>
      </c>
      <c r="E19" s="335">
        <f>RATE(24,-C19,(B7+F4))*12</f>
        <v>2.2258764411416873E-2</v>
      </c>
      <c r="F19" s="335">
        <f>D19/(B7+F4)/2</f>
        <v>1.1675459459459416E-2</v>
      </c>
      <c r="G19" s="335">
        <f>D19/(B7+F4)</f>
        <v>2.3350918918918832E-2</v>
      </c>
      <c r="H19" s="504">
        <f>MIN($I$16,J19)</f>
        <v>7443.8099999999995</v>
      </c>
      <c r="I19" s="820"/>
      <c r="J19" s="505">
        <f>$B$7*VLOOKUP(B19,'参数-车系车型 利率'!$B$78:$C$83,2,0)</f>
        <v>11763.965000000002</v>
      </c>
      <c r="K19" s="321">
        <f>ROUNDUP(I16/VLOOKUP(B19,'参数-车系车型 利率'!B78:C83,2,0),0)-1</f>
        <v>117061</v>
      </c>
      <c r="L19" s="428">
        <f>VLOOKUP($B$4,'厂贴车型明细&amp;贷款金额说明'!C:K,6,0)</f>
        <v>160000</v>
      </c>
      <c r="M19" s="817"/>
      <c r="N19" s="70"/>
      <c r="O19" s="443" t="s">
        <v>71</v>
      </c>
      <c r="P19" s="838">
        <f>(B13*(E16/12)-C16)*((1+(E16/12))^(P16)-1)/(E16/12)+(C16)*P16</f>
        <v>13817.701007817377</v>
      </c>
      <c r="Q19" s="838"/>
      <c r="R19" s="72"/>
      <c r="S19" s="72"/>
      <c r="T19" s="72"/>
    </row>
    <row r="20" spans="1:20" ht="31" customHeight="1">
      <c r="A20" s="837"/>
      <c r="B20" s="77" t="s">
        <v>42</v>
      </c>
      <c r="C20" s="283">
        <f>ROUNDUP(PMT(VLOOKUP(B4,'参数-车系车型 利率'!B:I,6,0)/12,18,-$B$7)-(H20+B9)/18,2)+(PMT(10%/12,18,-F4))</f>
        <v>10358.49</v>
      </c>
      <c r="D20" s="562">
        <f>C20*18-B7-F4</f>
        <v>1452.820000000007</v>
      </c>
      <c r="E20" s="335">
        <f>RATE(18,-C20,(B7+F4))*12</f>
        <v>9.8965657835594131E-3</v>
      </c>
      <c r="F20" s="335">
        <f>D20/(B7+F4)/1.5</f>
        <v>5.2353873873874123E-3</v>
      </c>
      <c r="G20" s="335">
        <f>D20/(B7+F4)</f>
        <v>7.8530810810811189E-3</v>
      </c>
      <c r="H20" s="519">
        <f t="shared" ref="H20" si="0">MIN($I$16,J20)</f>
        <v>7443.8099999999995</v>
      </c>
      <c r="I20" s="821"/>
      <c r="J20" s="505">
        <f>$B$7*VLOOKUP(B20,'参数-车系车型 利率'!$B$78:$C$83,2,0)</f>
        <v>8897.3438687452108</v>
      </c>
      <c r="K20" s="321">
        <f>ROUNDUP(I16/VLOOKUP(B20,'参数-车系车型 利率'!B78:C83,2,0),0)-1</f>
        <v>154777</v>
      </c>
      <c r="L20" s="428">
        <f>VLOOKUP($B$4,'厂贴车型明细&amp;贷款金额说明'!C:K,5,0)</f>
        <v>185000</v>
      </c>
      <c r="M20" s="818"/>
      <c r="N20" s="70"/>
      <c r="O20" s="72"/>
      <c r="P20" s="72"/>
      <c r="Q20" s="72"/>
      <c r="R20" s="72"/>
      <c r="S20" s="72"/>
      <c r="T20" s="72"/>
    </row>
    <row r="21" spans="1:20" ht="38" customHeight="1">
      <c r="A21" s="837"/>
      <c r="B21" s="77" t="s">
        <v>43</v>
      </c>
      <c r="C21" s="282" t="e">
        <f>ROUNDUP(PMT(VLOOKUP(B4,'参数-车系车型 利率'!B:I,7,0)/12,12,-$B$7)-(H21+B9)/12,2)</f>
        <v>#VALUE!</v>
      </c>
      <c r="D21" s="561" t="e">
        <f>C21*12-B7</f>
        <v>#VALUE!</v>
      </c>
      <c r="E21" s="588" t="e">
        <f>RATE(12,-C21,B7)*12</f>
        <v>#VALUE!</v>
      </c>
      <c r="F21" s="588" t="e">
        <f>D21/$B$7/1</f>
        <v>#VALUE!</v>
      </c>
      <c r="G21" s="588" t="e">
        <f>D21/$B$7</f>
        <v>#VALUE!</v>
      </c>
      <c r="H21" s="587" t="e">
        <f>MIN($I$21,J21)</f>
        <v>#N/A</v>
      </c>
      <c r="I21" s="585" t="e">
        <f>B5*(VLOOKUP(B3,'参数-车系车型 利率'!C89:D89,2,0))</f>
        <v>#N/A</v>
      </c>
      <c r="J21" s="518" t="e">
        <f>$B$7*VLOOKUP(B3,'参数-车系车型 利率'!C89:E89,3,0)</f>
        <v>#N/A</v>
      </c>
      <c r="K21" s="321" t="e">
        <f>ROUNDUP(I21/VLOOKUP(B3,'参数-车系车型 利率'!C89:E89,3,0),0)-1</f>
        <v>#N/A</v>
      </c>
      <c r="L21" s="428" t="str">
        <f>VLOOKUP($B$4,'厂贴车型明细&amp;贷款金额说明'!C:K,4,0)</f>
        <v>无方案</v>
      </c>
      <c r="M21" s="586" t="str">
        <f>VLOOKUP(B4,'参数-方案配置'!C:G,5,0)</f>
        <v>无方案</v>
      </c>
      <c r="N21" s="70"/>
      <c r="O21" s="72"/>
      <c r="T21" s="39"/>
    </row>
  </sheetData>
  <sheetProtection algorithmName="SHA-512" hashValue="etTSg8zq4JhdHPRQjOuTr7YXKPuF38M639jhPCx8VlEhVU8lA2NRb4XaQ+jyXtMR2FgKxE6T8j/YQoCyRn1qHg==" saltValue="l188ZWk7WKGorscmfqPvOA==" spinCount="100000" sheet="1" objects="1" scenarios="1"/>
  <mergeCells count="16">
    <mergeCell ref="M2:M3"/>
    <mergeCell ref="M16:M20"/>
    <mergeCell ref="I16:I20"/>
    <mergeCell ref="E6:F6"/>
    <mergeCell ref="H4:M8"/>
    <mergeCell ref="A13:A21"/>
    <mergeCell ref="B7:C7"/>
    <mergeCell ref="P18:Q18"/>
    <mergeCell ref="P19:Q19"/>
    <mergeCell ref="P16:Q16"/>
    <mergeCell ref="P17:Q17"/>
    <mergeCell ref="B3:C3"/>
    <mergeCell ref="B4:C4"/>
    <mergeCell ref="B5:C5"/>
    <mergeCell ref="B6:C6"/>
    <mergeCell ref="D9:E9"/>
  </mergeCells>
  <phoneticPr fontId="1" type="noConversion"/>
  <conditionalFormatting sqref="B11">
    <cfRule type="expression" dxfId="275" priority="8">
      <formula>$B$8&lt;30%</formula>
    </cfRule>
  </conditionalFormatting>
  <conditionalFormatting sqref="B13:C13">
    <cfRule type="expression" dxfId="274" priority="2">
      <formula>$C$13&lt;$F$12</formula>
    </cfRule>
  </conditionalFormatting>
  <conditionalFormatting sqref="B16:G16">
    <cfRule type="expression" dxfId="273" priority="78">
      <formula>$E$16&lt;-0.001%</formula>
    </cfRule>
    <cfRule type="expression" dxfId="272" priority="77">
      <formula>$B$7&lt;$L$16</formula>
    </cfRule>
  </conditionalFormatting>
  <conditionalFormatting sqref="B17:G17">
    <cfRule type="expression" dxfId="271" priority="68">
      <formula>$E$17&lt;-0.001%</formula>
    </cfRule>
    <cfRule type="expression" dxfId="270" priority="67">
      <formula>$B$7&lt;$L$17</formula>
    </cfRule>
  </conditionalFormatting>
  <conditionalFormatting sqref="B18:G18">
    <cfRule type="expression" dxfId="269" priority="70">
      <formula>$E$18&lt;-0.001%</formula>
    </cfRule>
    <cfRule type="expression" dxfId="268" priority="69">
      <formula>$B$7&lt;$L$18</formula>
    </cfRule>
  </conditionalFormatting>
  <conditionalFormatting sqref="B19:G19">
    <cfRule type="expression" dxfId="267" priority="72">
      <formula>$E$19&lt;-0.001%</formula>
    </cfRule>
    <cfRule type="expression" dxfId="266" priority="71">
      <formula>$B$7&lt;$L$19</formula>
    </cfRule>
  </conditionalFormatting>
  <conditionalFormatting sqref="B20:G20">
    <cfRule type="expression" dxfId="265" priority="58">
      <formula>$B$7&lt;$L$20</formula>
    </cfRule>
    <cfRule type="expression" dxfId="264" priority="59">
      <formula>$E$20&lt;-0.001%</formula>
    </cfRule>
  </conditionalFormatting>
  <conditionalFormatting sqref="B21:G21">
    <cfRule type="expression" dxfId="263" priority="56">
      <formula>$B$7&lt;$L$21</formula>
    </cfRule>
    <cfRule type="expression" dxfId="262" priority="57">
      <formula>$E$21&lt;-0.01%</formula>
    </cfRule>
  </conditionalFormatting>
  <conditionalFormatting sqref="C8:D8">
    <cfRule type="expression" dxfId="261" priority="7">
      <formula>$B$8&lt;$D$8</formula>
    </cfRule>
  </conditionalFormatting>
  <conditionalFormatting sqref="D3">
    <cfRule type="expression" dxfId="260" priority="82">
      <formula>$B$3="新君威"</formula>
    </cfRule>
  </conditionalFormatting>
  <conditionalFormatting sqref="D9">
    <cfRule type="expression" dxfId="259" priority="86">
      <formula>$B$9&gt;0</formula>
    </cfRule>
  </conditionalFormatting>
  <conditionalFormatting sqref="E12">
    <cfRule type="expression" dxfId="258" priority="52">
      <formula>$B$13&lt;$E$12</formula>
    </cfRule>
  </conditionalFormatting>
  <conditionalFormatting sqref="E6:F6">
    <cfRule type="expression" dxfId="257" priority="6">
      <formula>$F$5&lt;20%</formula>
    </cfRule>
  </conditionalFormatting>
  <conditionalFormatting sqref="E8:F8">
    <cfRule type="expression" dxfId="256" priority="1">
      <formula>$F$7&gt;$F$8</formula>
    </cfRule>
  </conditionalFormatting>
  <conditionalFormatting sqref="F7">
    <cfRule type="expression" dxfId="255" priority="5">
      <formula>$C$13&lt;$F$12</formula>
    </cfRule>
  </conditionalFormatting>
  <conditionalFormatting sqref="K16">
    <cfRule type="cellIs" dxfId="254" priority="89" operator="greaterThanOrEqual">
      <formula>$L$16</formula>
    </cfRule>
  </conditionalFormatting>
  <conditionalFormatting sqref="K17">
    <cfRule type="cellIs" dxfId="253" priority="88" operator="greaterThanOrEqual">
      <formula>$L$17</formula>
    </cfRule>
  </conditionalFormatting>
  <conditionalFormatting sqref="K18">
    <cfRule type="cellIs" dxfId="252" priority="87" operator="greaterThanOrEqual">
      <formula>$L$18</formula>
    </cfRule>
  </conditionalFormatting>
  <conditionalFormatting sqref="K19">
    <cfRule type="cellIs" dxfId="251" priority="85" operator="greaterThanOrEqual">
      <formula>$L$19</formula>
    </cfRule>
  </conditionalFormatting>
  <conditionalFormatting sqref="K20">
    <cfRule type="cellIs" dxfId="250" priority="84" operator="greaterThanOrEqual">
      <formula>$L$20</formula>
    </cfRule>
  </conditionalFormatting>
  <conditionalFormatting sqref="K21">
    <cfRule type="cellIs" dxfId="249" priority="53" operator="greaterThanOrEqual">
      <formula>$L$21</formula>
    </cfRule>
  </conditionalFormatting>
  <conditionalFormatting sqref="L16">
    <cfRule type="expression" dxfId="248" priority="4">
      <formula>$B$7&lt;$L$16</formula>
    </cfRule>
  </conditionalFormatting>
  <conditionalFormatting sqref="L17">
    <cfRule type="expression" dxfId="247" priority="3">
      <formula>$B$7&lt;$L$17</formula>
    </cfRule>
  </conditionalFormatting>
  <conditionalFormatting sqref="L18">
    <cfRule type="expression" dxfId="246" priority="107">
      <formula>$B$7&lt;$L$18</formula>
    </cfRule>
  </conditionalFormatting>
  <conditionalFormatting sqref="L19">
    <cfRule type="expression" dxfId="245" priority="109">
      <formula>$B$7&lt;$L$19</formula>
    </cfRule>
  </conditionalFormatting>
  <conditionalFormatting sqref="L19:L21">
    <cfRule type="containsText" dxfId="244" priority="54" operator="containsText" text="无方案">
      <formula>NOT(ISERROR(SEARCH("无方案",L19)))</formula>
    </cfRule>
  </conditionalFormatting>
  <conditionalFormatting sqref="L20">
    <cfRule type="expression" dxfId="243" priority="110">
      <formula>$B$7&lt;$L$20</formula>
    </cfRule>
  </conditionalFormatting>
  <conditionalFormatting sqref="L21">
    <cfRule type="expression" dxfId="242" priority="55">
      <formula>$B$7&lt;$L$21</formula>
    </cfRule>
  </conditionalFormatting>
  <conditionalFormatting sqref="M16">
    <cfRule type="containsText" dxfId="241" priority="105" operator="containsText" text="无方案">
      <formula>NOT(ISERROR(SEARCH("无方案",M16)))</formula>
    </cfRule>
  </conditionalFormatting>
  <dataValidations count="2">
    <dataValidation type="list" allowBlank="1" showInputMessage="1" showErrorMessage="1" sqref="B4" xr:uid="{B84DBC5E-1B41-478E-849B-9FE501F22F59}">
      <formula1>INDIRECT($B$3)</formula1>
    </dataValidation>
    <dataValidation type="list" allowBlank="1" showInputMessage="1" showErrorMessage="1" sqref="B3:C3" xr:uid="{A30C2A44-78D6-468F-8289-0B414B338548}">
      <formula1>厂贴双优贷车系</formula1>
    </dataValidation>
  </dataValidations>
  <hyperlinks>
    <hyperlink ref="M2" location="试算路径!A1" display="返回" xr:uid="{F7396033-F482-47BD-866C-2F3CAAEEE718}"/>
    <hyperlink ref="M2:M3" location="试算路径及方案简述!A1" display="返回" xr:uid="{8A473681-1704-4E18-8CF7-00279EE31E72}"/>
  </hyperlinks>
  <pageMargins left="0.7" right="0.7" top="0.75" bottom="0.75" header="0.3" footer="0.3"/>
  <pageSetup orientation="portrait" horizontalDpi="300" verticalDpi="0" copies="0"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theme="8" tint="0.59999389629810485"/>
  </sheetPr>
  <dimension ref="A1:Y41"/>
  <sheetViews>
    <sheetView zoomScale="50" zoomScaleNormal="50" workbookViewId="0">
      <pane ySplit="13" topLeftCell="A14" activePane="bottomLeft" state="frozen"/>
      <selection pane="bottomLeft" activeCell="E45" sqref="E45"/>
    </sheetView>
  </sheetViews>
  <sheetFormatPr defaultColWidth="8.75" defaultRowHeight="16.5"/>
  <cols>
    <col min="1" max="1" width="18.58203125" style="23" customWidth="1"/>
    <col min="2" max="2" width="17.33203125" style="23" customWidth="1"/>
    <col min="3" max="3" width="23.33203125" style="23" customWidth="1"/>
    <col min="4" max="4" width="18.25" style="23" customWidth="1"/>
    <col min="5" max="5" width="24.4140625" style="23" customWidth="1"/>
    <col min="6" max="6" width="20" style="23" customWidth="1"/>
    <col min="7" max="7" width="17.33203125" style="23" customWidth="1"/>
    <col min="8" max="10" width="17.08203125" style="23" customWidth="1"/>
    <col min="11" max="11" width="17.75" style="23" customWidth="1"/>
    <col min="12" max="12" width="16.75" style="23" customWidth="1"/>
    <col min="13" max="13" width="84.33203125" style="23" customWidth="1"/>
    <col min="14" max="14" width="2.33203125" style="23" customWidth="1"/>
    <col min="15" max="15" width="23.08203125" style="23" customWidth="1"/>
    <col min="16" max="16" width="19.08203125" style="23" customWidth="1"/>
    <col min="17" max="17" width="11.75" style="23" customWidth="1"/>
    <col min="18" max="18" width="12.58203125" style="23" customWidth="1"/>
    <col min="19" max="19" width="7.75" style="23" customWidth="1"/>
    <col min="20" max="20" width="16.08203125" style="23" customWidth="1"/>
    <col min="21" max="21" width="2" style="23" customWidth="1"/>
    <col min="22" max="16384" width="8.75" style="23"/>
  </cols>
  <sheetData>
    <row r="1" spans="1:21" ht="7.5" customHeight="1">
      <c r="S1" s="24"/>
      <c r="T1" s="24"/>
    </row>
    <row r="2" spans="1:21" ht="21.65" customHeight="1">
      <c r="A2" s="25" t="s">
        <v>335</v>
      </c>
      <c r="M2" s="797" t="s">
        <v>286</v>
      </c>
      <c r="O2" s="43" t="s">
        <v>84</v>
      </c>
      <c r="P2" s="81">
        <v>0.2</v>
      </c>
      <c r="S2" s="24"/>
      <c r="T2" s="24"/>
    </row>
    <row r="3" spans="1:21" ht="24" customHeight="1">
      <c r="A3" s="26" t="s">
        <v>45</v>
      </c>
      <c r="B3" s="798" t="s">
        <v>437</v>
      </c>
      <c r="C3" s="798"/>
      <c r="D3" s="264"/>
      <c r="M3" s="797"/>
      <c r="O3" s="28" t="s">
        <v>46</v>
      </c>
      <c r="P3" s="29">
        <v>2999</v>
      </c>
      <c r="S3" s="24"/>
      <c r="T3" s="24"/>
    </row>
    <row r="4" spans="1:21" ht="28" customHeight="1">
      <c r="A4" s="77" t="s">
        <v>79</v>
      </c>
      <c r="B4" s="799" t="s">
        <v>93</v>
      </c>
      <c r="C4" s="800"/>
      <c r="M4" s="97"/>
      <c r="N4" s="28"/>
      <c r="O4" s="32" t="s">
        <v>47</v>
      </c>
      <c r="P4" s="33">
        <f>B6</f>
        <v>120000</v>
      </c>
      <c r="T4" s="27"/>
    </row>
    <row r="5" spans="1:21" ht="22.5" customHeight="1">
      <c r="A5" s="30" t="s">
        <v>287</v>
      </c>
      <c r="B5" s="801" t="e">
        <f>VLOOKUP(B4,'厂贴车型明细&amp;贷款金额说明'!C:D,2,0)</f>
        <v>#N/A</v>
      </c>
      <c r="C5" s="801"/>
      <c r="D5" s="31"/>
      <c r="N5" s="32"/>
      <c r="O5" s="37" t="s">
        <v>83</v>
      </c>
      <c r="P5" s="38">
        <f>(P4*P2-P3)/(1-P2)+1</f>
        <v>26252.25</v>
      </c>
      <c r="Q5" s="35" t="s">
        <v>85</v>
      </c>
      <c r="R5" s="34"/>
      <c r="T5" s="27"/>
    </row>
    <row r="6" spans="1:21" ht="22.75" customHeight="1">
      <c r="A6" s="30" t="s">
        <v>288</v>
      </c>
      <c r="B6" s="798">
        <v>120000</v>
      </c>
      <c r="C6" s="798"/>
      <c r="D6" s="35"/>
      <c r="F6" s="802" t="s">
        <v>387</v>
      </c>
      <c r="G6" s="802"/>
      <c r="H6" s="802"/>
      <c r="I6" s="802"/>
      <c r="J6" s="802"/>
      <c r="K6" s="802"/>
      <c r="L6" s="802"/>
      <c r="M6" s="802"/>
      <c r="N6" s="36"/>
      <c r="O6" s="32" t="s">
        <v>48</v>
      </c>
      <c r="P6" s="40">
        <f>P4-P3</f>
        <v>117001</v>
      </c>
      <c r="R6" s="34"/>
    </row>
    <row r="7" spans="1:21" ht="22.75" customHeight="1">
      <c r="A7" s="30" t="s">
        <v>289</v>
      </c>
      <c r="B7" s="798">
        <v>0</v>
      </c>
      <c r="C7" s="798"/>
      <c r="D7" s="27"/>
      <c r="E7" s="39"/>
      <c r="F7" s="802"/>
      <c r="G7" s="802"/>
      <c r="H7" s="802"/>
      <c r="I7" s="802"/>
      <c r="J7" s="802"/>
      <c r="K7" s="802"/>
      <c r="L7" s="802"/>
      <c r="M7" s="802"/>
      <c r="N7" s="32"/>
      <c r="R7" s="41"/>
    </row>
    <row r="8" spans="1:21" ht="22.75" customHeight="1">
      <c r="A8" s="42" t="s">
        <v>49</v>
      </c>
      <c r="B8" s="805" t="e">
        <f>IF((B6+B7)&lt;=B5*115%,(B6+B7),"总价超限,请调整")</f>
        <v>#N/A</v>
      </c>
      <c r="C8" s="805"/>
      <c r="D8" s="43" t="s">
        <v>50</v>
      </c>
      <c r="E8" s="44" t="e">
        <f>B5*115%</f>
        <v>#N/A</v>
      </c>
      <c r="F8" s="802"/>
      <c r="G8" s="802"/>
      <c r="H8" s="802"/>
      <c r="I8" s="802"/>
      <c r="J8" s="802"/>
      <c r="K8" s="802"/>
      <c r="L8" s="802"/>
      <c r="M8" s="802"/>
      <c r="O8" s="46" t="s">
        <v>52</v>
      </c>
      <c r="P8" s="82">
        <v>2399</v>
      </c>
      <c r="Q8" s="24"/>
    </row>
    <row r="9" spans="1:21" s="24" customFormat="1" ht="22.4" customHeight="1">
      <c r="A9" s="45" t="s">
        <v>245</v>
      </c>
      <c r="B9" s="813">
        <v>197800</v>
      </c>
      <c r="C9" s="813"/>
      <c r="E9" s="91"/>
      <c r="F9" s="802"/>
      <c r="G9" s="802"/>
      <c r="H9" s="802"/>
      <c r="I9" s="802"/>
      <c r="J9" s="802"/>
      <c r="K9" s="802"/>
      <c r="L9" s="802"/>
      <c r="M9" s="802"/>
      <c r="N9" s="46"/>
      <c r="O9" s="49" t="s">
        <v>55</v>
      </c>
      <c r="P9" s="50" t="e">
        <f>PV(VLOOKUP(B4,'参数-车系车型 利率'!B:I,2,0)/12,60,-(P8+H18/60))</f>
        <v>#N/A</v>
      </c>
      <c r="Q9" s="23"/>
    </row>
    <row r="10" spans="1:21" ht="4" customHeight="1">
      <c r="F10" s="802"/>
      <c r="G10" s="802"/>
      <c r="H10" s="802"/>
      <c r="I10" s="802"/>
      <c r="J10" s="802"/>
      <c r="K10" s="802"/>
      <c r="L10" s="802"/>
      <c r="M10" s="802"/>
      <c r="N10" s="39"/>
      <c r="O10" s="39"/>
      <c r="P10" s="28"/>
      <c r="Q10" s="28"/>
    </row>
    <row r="11" spans="1:21" ht="30" customHeight="1">
      <c r="A11" s="47" t="s">
        <v>53</v>
      </c>
      <c r="B11" s="839">
        <v>0</v>
      </c>
      <c r="C11" s="839"/>
      <c r="D11" s="840" t="s">
        <v>130</v>
      </c>
      <c r="E11" s="841"/>
      <c r="F11" s="802"/>
      <c r="G11" s="802"/>
      <c r="H11" s="802"/>
      <c r="I11" s="802"/>
      <c r="J11" s="802"/>
      <c r="K11" s="802"/>
      <c r="L11" s="802"/>
      <c r="M11" s="802"/>
      <c r="N11" s="49"/>
      <c r="O11" s="49"/>
      <c r="P11" s="251"/>
      <c r="Q11" s="28"/>
    </row>
    <row r="12" spans="1:21" ht="16.5" customHeight="1">
      <c r="U12" s="51" t="s">
        <v>56</v>
      </c>
    </row>
    <row r="13" spans="1:21" ht="22.5" customHeight="1" thickBot="1">
      <c r="A13" s="52" t="s">
        <v>57</v>
      </c>
      <c r="B13" s="53"/>
      <c r="C13" s="54"/>
      <c r="D13" s="92"/>
    </row>
    <row r="14" spans="1:21" ht="27" customHeight="1" thickTop="1">
      <c r="A14" s="407" t="s">
        <v>361</v>
      </c>
      <c r="B14" s="409" t="s">
        <v>60</v>
      </c>
      <c r="C14" s="440" t="s">
        <v>59</v>
      </c>
      <c r="D14" s="342" t="s">
        <v>280</v>
      </c>
      <c r="E14" s="344">
        <f>VLOOKUP($B$3,'参数-车系车型 利率'!P2:Q8,2,0)</f>
        <v>0.2</v>
      </c>
      <c r="H14" s="271"/>
      <c r="I14" s="311"/>
      <c r="J14" s="264"/>
      <c r="K14" s="298"/>
      <c r="L14" s="310"/>
      <c r="M14" s="27"/>
      <c r="N14" s="27"/>
    </row>
    <row r="15" spans="1:21" ht="22" customHeight="1">
      <c r="A15" s="837" t="s">
        <v>371</v>
      </c>
      <c r="B15" s="362" t="e">
        <f>C15/B8</f>
        <v>#N/A</v>
      </c>
      <c r="C15" s="437" t="e">
        <f>B8-B9</f>
        <v>#N/A</v>
      </c>
      <c r="D15" s="323" t="s">
        <v>394</v>
      </c>
      <c r="E15" s="323"/>
      <c r="F15" s="438"/>
      <c r="G15" s="438"/>
      <c r="H15" s="337"/>
      <c r="I15" s="438"/>
      <c r="J15" s="325"/>
      <c r="K15" s="325"/>
      <c r="L15" s="438"/>
      <c r="M15" s="92"/>
      <c r="N15" s="27"/>
    </row>
    <row r="16" spans="1:21" ht="2.5" customHeight="1">
      <c r="A16" s="837"/>
      <c r="B16" s="425"/>
      <c r="C16" s="439"/>
      <c r="D16" s="339"/>
      <c r="E16" s="339"/>
      <c r="F16" s="339"/>
      <c r="G16" s="339"/>
      <c r="H16" s="339"/>
      <c r="I16" s="339"/>
      <c r="J16" s="339"/>
      <c r="K16" s="339"/>
      <c r="L16" s="339"/>
      <c r="M16" s="426"/>
    </row>
    <row r="17" spans="1:25" ht="31" customHeight="1">
      <c r="A17" s="837"/>
      <c r="B17" s="77" t="s">
        <v>61</v>
      </c>
      <c r="C17" s="314" t="s">
        <v>234</v>
      </c>
      <c r="D17" s="316" t="s">
        <v>344</v>
      </c>
      <c r="E17" s="316" t="s">
        <v>276</v>
      </c>
      <c r="F17" s="316" t="s">
        <v>277</v>
      </c>
      <c r="G17" s="88" t="s">
        <v>306</v>
      </c>
      <c r="H17" s="462" t="s">
        <v>64</v>
      </c>
      <c r="I17" s="317" t="s">
        <v>266</v>
      </c>
      <c r="J17" s="317" t="s">
        <v>265</v>
      </c>
      <c r="K17" s="494" t="s">
        <v>407</v>
      </c>
      <c r="L17" s="318" t="s">
        <v>19</v>
      </c>
      <c r="M17" s="58" t="s">
        <v>65</v>
      </c>
      <c r="N17" s="59"/>
      <c r="O17" s="60"/>
      <c r="P17" s="60" t="s">
        <v>378</v>
      </c>
    </row>
    <row r="18" spans="1:25" ht="31" customHeight="1">
      <c r="A18" s="837"/>
      <c r="B18" s="427" t="s">
        <v>38</v>
      </c>
      <c r="C18" s="282" t="e">
        <f>ROUNDUP(PMT(VLOOKUP(B4,'参数-车系车型 利率'!B:I,2,0)/12,60,-$B$9)-(H18+B11)/60,2)</f>
        <v>#N/A</v>
      </c>
      <c r="D18" s="499" t="e">
        <f>C18*60-B9</f>
        <v>#N/A</v>
      </c>
      <c r="E18" s="335" t="e">
        <f>RATE(60,-C18,B9)*12</f>
        <v>#N/A</v>
      </c>
      <c r="F18" s="335" t="e">
        <f>D18/$B$9/5</f>
        <v>#N/A</v>
      </c>
      <c r="G18" s="335" t="e">
        <f t="shared" ref="G18:G23" si="0">D18/$B$9</f>
        <v>#N/A</v>
      </c>
      <c r="H18" s="417" t="e">
        <f t="shared" ref="H18:H23" si="1">MIN($I$18,J18)</f>
        <v>#N/A</v>
      </c>
      <c r="I18" s="858" t="e">
        <f>VLOOKUP($B$4,'厂贴车型明细&amp;贷款金额说明'!C:E,3,0)</f>
        <v>#N/A</v>
      </c>
      <c r="J18" s="320">
        <f>$B$9*VLOOKUP(B18,'参数-车系车型 利率'!$B$78:$C$83,2,0)</f>
        <v>31590.637999999999</v>
      </c>
      <c r="K18" s="321" t="e">
        <f>ROUNDUP(I18/VLOOKUP(B18,'参数-车系车型 利率'!B78:C83,2,0),0)-1</f>
        <v>#N/A</v>
      </c>
      <c r="L18" s="428" t="e">
        <f>VLOOKUP($B$4,'厂贴车型明细&amp;贷款金额说明'!C:K,9,0)</f>
        <v>#N/A</v>
      </c>
      <c r="M18" s="816" t="str">
        <f>VLOOKUP(B4,'参数-方案配置'!C:E,2,0)</f>
        <v xml:space="preserve">个人申请：厂贴_5.99贴息 新优速贷/个体工商户升级 24-60期 </v>
      </c>
      <c r="N18" s="59"/>
      <c r="O18" s="65" t="s">
        <v>67</v>
      </c>
      <c r="P18" s="787">
        <v>24</v>
      </c>
      <c r="Q18" s="787"/>
      <c r="R18" s="456" t="s">
        <v>370</v>
      </c>
      <c r="S18" s="66"/>
      <c r="T18" s="67"/>
    </row>
    <row r="19" spans="1:25" ht="31" customHeight="1">
      <c r="A19" s="837"/>
      <c r="B19" s="427" t="s">
        <v>39</v>
      </c>
      <c r="C19" s="282" t="e">
        <f>ROUNDUP(PMT(VLOOKUP(B4,'参数-车系车型 利率'!B:I,3,0)/12,48,-$B$9)-(H19+B11)/48,2)</f>
        <v>#N/A</v>
      </c>
      <c r="D19" s="499" t="e">
        <f>C19*48-B9</f>
        <v>#N/A</v>
      </c>
      <c r="E19" s="335" t="e">
        <f>RATE(48,-C19,B9)*12</f>
        <v>#N/A</v>
      </c>
      <c r="F19" s="335" t="e">
        <f>D19/$B$9/4</f>
        <v>#N/A</v>
      </c>
      <c r="G19" s="335" t="e">
        <f t="shared" si="0"/>
        <v>#N/A</v>
      </c>
      <c r="H19" s="417" t="e">
        <f t="shared" si="1"/>
        <v>#N/A</v>
      </c>
      <c r="I19" s="858"/>
      <c r="J19" s="320">
        <f>$B$9*VLOOKUP(B19,'参数-车系车型 利率'!$B$78:$C$83,2,0)</f>
        <v>25137.511899999998</v>
      </c>
      <c r="K19" s="321" t="e">
        <f>ROUNDUP(I18/VLOOKUP(B19,'参数-车系车型 利率'!B78:C83,2,0),0)-1</f>
        <v>#N/A</v>
      </c>
      <c r="L19" s="428" t="e">
        <f>VLOOKUP($B$4,'厂贴车型明细&amp;贷款金额说明'!C:K,8,0)</f>
        <v>#N/A</v>
      </c>
      <c r="M19" s="817"/>
      <c r="N19" s="59"/>
      <c r="O19" s="65" t="s">
        <v>69</v>
      </c>
      <c r="P19" s="795" t="e">
        <f>B9-(C18*P18-P21)</f>
        <v>#N/A</v>
      </c>
      <c r="Q19" s="795"/>
      <c r="R19" s="68"/>
      <c r="S19" s="66"/>
      <c r="T19" s="67"/>
    </row>
    <row r="20" spans="1:25" ht="31" customHeight="1">
      <c r="A20" s="837"/>
      <c r="B20" s="427" t="s">
        <v>40</v>
      </c>
      <c r="C20" s="283" t="e">
        <f>ROUNDUP(PMT(VLOOKUP(B4,'参数-车系车型 利率'!B:I,4,0)/12,36,-$B$9)-(H20+B11)/36,2)</f>
        <v>#N/A</v>
      </c>
      <c r="D20" s="500" t="e">
        <f>C20*36-B9</f>
        <v>#N/A</v>
      </c>
      <c r="E20" s="335" t="e">
        <f>RATE(36,-C20,B9)*12</f>
        <v>#N/A</v>
      </c>
      <c r="F20" s="335" t="e">
        <f>D20/$B$9/3</f>
        <v>#N/A</v>
      </c>
      <c r="G20" s="335" t="e">
        <f t="shared" si="0"/>
        <v>#N/A</v>
      </c>
      <c r="H20" s="417" t="e">
        <f t="shared" si="1"/>
        <v>#N/A</v>
      </c>
      <c r="I20" s="858"/>
      <c r="J20" s="320">
        <f>$B$9*VLOOKUP(B20,'参数-车系车型 利率'!$B$78:$C$83,2,0)</f>
        <v>18797.545202000001</v>
      </c>
      <c r="K20" s="321" t="e">
        <f>ROUNDUP(I18/VLOOKUP(B20,'参数-车系车型 利率'!B78:C83,2,0),0)-1</f>
        <v>#N/A</v>
      </c>
      <c r="L20" s="428" t="e">
        <f>VLOOKUP($B$4,'厂贴车型明细&amp;贷款金额说明'!C:K,7,0)</f>
        <v>#N/A</v>
      </c>
      <c r="M20" s="817"/>
      <c r="N20" s="59"/>
      <c r="O20" s="69" t="s">
        <v>70</v>
      </c>
      <c r="P20" s="822" t="e">
        <f>D18-P21</f>
        <v>#N/A</v>
      </c>
      <c r="Q20" s="822"/>
      <c r="R20" s="68"/>
      <c r="S20" s="66"/>
      <c r="T20" s="67"/>
    </row>
    <row r="21" spans="1:25" ht="31" customHeight="1">
      <c r="A21" s="837"/>
      <c r="B21" s="427" t="s">
        <v>41</v>
      </c>
      <c r="C21" s="283" t="e">
        <f>ROUNDUP(PMT(VLOOKUP(B4,'参数-车系车型 利率'!B:I,5,0)/12,24,-$B$9)-(H21+B11)/24,2)</f>
        <v>#N/A</v>
      </c>
      <c r="D21" s="500" t="e">
        <f>C21*24-B9</f>
        <v>#N/A</v>
      </c>
      <c r="E21" s="335" t="e">
        <f>RATE(24,-C21,B9)*12</f>
        <v>#N/A</v>
      </c>
      <c r="F21" s="335" t="e">
        <f>D21/$B$9/2</f>
        <v>#N/A</v>
      </c>
      <c r="G21" s="335" t="e">
        <f t="shared" si="0"/>
        <v>#N/A</v>
      </c>
      <c r="H21" s="417" t="e">
        <f t="shared" si="1"/>
        <v>#N/A</v>
      </c>
      <c r="I21" s="858"/>
      <c r="J21" s="320">
        <f>$B$9*VLOOKUP(B21,'参数-车系车型 利率'!$B$78:$C$83,2,0)</f>
        <v>12577.904200000001</v>
      </c>
      <c r="K21" s="321" t="e">
        <f>ROUNDUP(I18/VLOOKUP(B21,'参数-车系车型 利率'!B78:C83,2,0),0)-1</f>
        <v>#N/A</v>
      </c>
      <c r="L21" s="428" t="e">
        <f>VLOOKUP($B$4,'厂贴车型明细&amp;贷款金额说明'!C:K,6,0)</f>
        <v>#N/A</v>
      </c>
      <c r="M21" s="817"/>
      <c r="N21" s="70"/>
      <c r="O21" s="443" t="s">
        <v>71</v>
      </c>
      <c r="P21" s="838" t="e">
        <f>(B9*(E18/12)-C18)*((1+(E18/12))^(P18)-1)/(E18/12)+(C18)*P18</f>
        <v>#N/A</v>
      </c>
      <c r="Q21" s="838"/>
      <c r="R21" s="72"/>
      <c r="S21" s="72"/>
      <c r="T21" s="72"/>
    </row>
    <row r="22" spans="1:25" ht="31" customHeight="1">
      <c r="A22" s="837"/>
      <c r="B22" s="77" t="s">
        <v>42</v>
      </c>
      <c r="C22" s="283" t="e">
        <f>ROUNDUP(PMT(VLOOKUP(B4,'参数-车系车型 利率'!B:I,5,0)/12,18,-$B$9)-(H21+B11)/18,2)</f>
        <v>#N/A</v>
      </c>
      <c r="D22" s="500" t="e">
        <f>C22*18-B9</f>
        <v>#N/A</v>
      </c>
      <c r="E22" s="335" t="e">
        <f>RATE(18,-C22,B9)*12</f>
        <v>#N/A</v>
      </c>
      <c r="F22" s="335" t="e">
        <f>D22/$B$9/1.5</f>
        <v>#N/A</v>
      </c>
      <c r="G22" s="335" t="e">
        <f t="shared" si="0"/>
        <v>#N/A</v>
      </c>
      <c r="H22" s="417" t="e">
        <f t="shared" si="1"/>
        <v>#N/A</v>
      </c>
      <c r="I22" s="858"/>
      <c r="J22" s="320">
        <f>$B$9*VLOOKUP(B22,'参数-车系车型 利率'!$B$78:$C$83,2,0)</f>
        <v>9512.9438769610952</v>
      </c>
      <c r="K22" s="321" t="e">
        <f>ROUNDUP(I18/VLOOKUP(B22,'参数-车系车型 利率'!B78:C83,2,0),0)-1</f>
        <v>#N/A</v>
      </c>
      <c r="L22" s="428" t="e">
        <f>VLOOKUP($B$4,'厂贴车型明细&amp;贷款金额说明'!C:K,5,0)</f>
        <v>#N/A</v>
      </c>
      <c r="M22" s="817"/>
      <c r="N22" s="70"/>
      <c r="O22" s="72"/>
      <c r="P22" s="72"/>
      <c r="Q22" s="72"/>
      <c r="R22" s="72"/>
      <c r="S22" s="72"/>
      <c r="T22" s="72"/>
    </row>
    <row r="23" spans="1:25" ht="31" customHeight="1">
      <c r="A23" s="837"/>
      <c r="B23" s="427" t="s">
        <v>43</v>
      </c>
      <c r="C23" s="283" t="e">
        <f>ROUNDUP(PMT(VLOOKUP(B4,'参数-车系车型 利率'!B:I,7,0)/12,12,-$B$9)-(H23+B11)/12,2)</f>
        <v>#VALUE!</v>
      </c>
      <c r="D23" s="500" t="e">
        <f>C23*12-B9</f>
        <v>#VALUE!</v>
      </c>
      <c r="E23" s="335" t="e">
        <f>RATE(12,-C23,B9)*12</f>
        <v>#VALUE!</v>
      </c>
      <c r="F23" s="335" t="e">
        <f>D23/$B$9/1</f>
        <v>#VALUE!</v>
      </c>
      <c r="G23" s="335" t="e">
        <f t="shared" si="0"/>
        <v>#VALUE!</v>
      </c>
      <c r="H23" s="417" t="e">
        <f t="shared" si="1"/>
        <v>#N/A</v>
      </c>
      <c r="I23" s="858"/>
      <c r="J23" s="320">
        <f>$B$9*VLOOKUP(B23,'参数-车系车型 利率'!$B$78:$C$83,2,0)</f>
        <v>6476.9610000000002</v>
      </c>
      <c r="K23" s="321" t="e">
        <f>ROUNDUP(I18/VLOOKUP(B23,'参数-车系车型 利率'!B78:C83,2,0),0)-1</f>
        <v>#N/A</v>
      </c>
      <c r="L23" s="428" t="e">
        <f>VLOOKUP($B$4,'厂贴车型明细&amp;贷款金额说明'!C:K,4,0)</f>
        <v>#N/A</v>
      </c>
      <c r="M23" s="818"/>
      <c r="N23" s="70"/>
      <c r="O23" s="72"/>
      <c r="T23" s="39"/>
    </row>
    <row r="24" spans="1:25" ht="22" hidden="1" customHeight="1" thickBot="1">
      <c r="A24" s="424"/>
      <c r="B24" s="424"/>
      <c r="C24" s="424"/>
      <c r="D24" s="323"/>
      <c r="E24" s="310"/>
      <c r="F24" s="363"/>
      <c r="G24" s="363"/>
      <c r="H24" s="310"/>
      <c r="I24" s="310"/>
      <c r="J24" s="310"/>
      <c r="K24" s="310"/>
      <c r="L24" s="310"/>
      <c r="M24" s="55"/>
      <c r="N24" s="70"/>
      <c r="O24" s="72"/>
      <c r="T24" s="39"/>
    </row>
    <row r="25" spans="1:25" ht="23.15" hidden="1" customHeight="1">
      <c r="A25" s="326" t="s">
        <v>72</v>
      </c>
      <c r="B25" s="308" t="s">
        <v>59</v>
      </c>
      <c r="C25" s="309" t="s">
        <v>60</v>
      </c>
      <c r="D25" s="342" t="s">
        <v>280</v>
      </c>
      <c r="E25" s="344">
        <v>0.2</v>
      </c>
      <c r="F25" s="271"/>
      <c r="G25" s="271"/>
      <c r="H25" s="327"/>
      <c r="I25" s="327"/>
      <c r="J25" s="327"/>
      <c r="K25" s="328"/>
      <c r="L25" s="329"/>
      <c r="M25" s="73"/>
      <c r="O25" s="24"/>
      <c r="P25" s="272" t="s">
        <v>285</v>
      </c>
      <c r="Q25" s="92">
        <v>119999</v>
      </c>
      <c r="R25" s="24"/>
      <c r="S25" s="24"/>
      <c r="T25" s="24"/>
      <c r="U25" s="24"/>
      <c r="V25" s="24"/>
      <c r="W25" s="24"/>
      <c r="X25" s="24"/>
      <c r="Y25" s="24"/>
    </row>
    <row r="26" spans="1:25" ht="23.15" hidden="1" customHeight="1">
      <c r="A26" s="842" t="s">
        <v>278</v>
      </c>
      <c r="B26" s="312" t="e">
        <f>B8-B9</f>
        <v>#N/A</v>
      </c>
      <c r="C26" s="313" t="e">
        <f>B26/B8</f>
        <v>#N/A</v>
      </c>
      <c r="D26" s="264" t="s">
        <v>117</v>
      </c>
      <c r="E26" s="310">
        <v>500000</v>
      </c>
      <c r="F26" s="271"/>
      <c r="G26" s="271"/>
      <c r="H26" s="330" t="s">
        <v>267</v>
      </c>
      <c r="I26" s="331"/>
      <c r="J26" s="331"/>
      <c r="K26" s="332"/>
      <c r="L26" s="331"/>
      <c r="M26" s="266" t="e">
        <f>I29/VLOOKUP(B4,'参数-车系车型 利率'!B:I,7,0)/30%</f>
        <v>#N/A</v>
      </c>
      <c r="R26" s="24"/>
      <c r="S26" s="24"/>
      <c r="T26" s="24"/>
      <c r="U26" s="24"/>
      <c r="V26" s="24"/>
      <c r="W26" s="24"/>
      <c r="X26" s="24"/>
      <c r="Y26" s="24"/>
    </row>
    <row r="27" spans="1:25" ht="4" hidden="1" customHeight="1">
      <c r="A27" s="842"/>
      <c r="B27" s="271"/>
      <c r="C27" s="271"/>
      <c r="D27" s="271"/>
      <c r="E27" s="271"/>
      <c r="F27" s="298"/>
      <c r="G27" s="367"/>
      <c r="H27" s="271"/>
      <c r="I27" s="271"/>
      <c r="J27" s="271"/>
      <c r="K27" s="271"/>
      <c r="L27" s="271"/>
    </row>
    <row r="28" spans="1:25" ht="33" hidden="1" customHeight="1">
      <c r="A28" s="842"/>
      <c r="B28" s="305" t="s">
        <v>61</v>
      </c>
      <c r="C28" s="314" t="s">
        <v>234</v>
      </c>
      <c r="D28" s="299" t="s">
        <v>198</v>
      </c>
      <c r="E28" s="333" t="s">
        <v>279</v>
      </c>
      <c r="F28" s="316" t="s">
        <v>276</v>
      </c>
      <c r="G28" s="316"/>
      <c r="H28" s="316" t="s">
        <v>277</v>
      </c>
      <c r="I28" s="317" t="s">
        <v>266</v>
      </c>
      <c r="J28" s="317" t="s">
        <v>265</v>
      </c>
      <c r="K28" s="215" t="s">
        <v>64</v>
      </c>
      <c r="L28" s="319" t="s">
        <v>19</v>
      </c>
      <c r="M28" s="75" t="s">
        <v>65</v>
      </c>
      <c r="N28" s="59"/>
      <c r="O28" s="60" t="s">
        <v>75</v>
      </c>
    </row>
    <row r="29" spans="1:25" ht="23.15" hidden="1" customHeight="1">
      <c r="A29" s="842"/>
      <c r="B29" s="305" t="s">
        <v>38</v>
      </c>
      <c r="C29" s="282" t="e">
        <f>ROUNDUP(PMT(VLOOKUP(B4,'参数-车系车型 利率'!B:I,2,0)/12,60,-B9,E29)-(K29+B11)/60,2)</f>
        <v>#N/A</v>
      </c>
      <c r="D29" s="334" t="e">
        <f>C29*60-(B9-E29)</f>
        <v>#N/A</v>
      </c>
      <c r="E29" s="844" t="e">
        <f>B8*20%</f>
        <v>#N/A</v>
      </c>
      <c r="F29" s="335" t="e">
        <f>RATE(60,-C29,B9,-E29)*12</f>
        <v>#N/A</v>
      </c>
      <c r="G29" s="461"/>
      <c r="H29" s="336" t="e">
        <f>D29/$B$9/5</f>
        <v>#N/A</v>
      </c>
      <c r="I29" s="819" t="e">
        <f>VLOOKUP($B$4,'厂贴车型明细&amp;贷款金额说明'!C:G,3,0)</f>
        <v>#N/A</v>
      </c>
      <c r="J29" s="320" t="e">
        <f>IF($B$3="新君威",($B$9-$E$29)*VLOOKUP(B29,'参数-车系车型 利率'!$K$78:$L$83,2,0)+($E$29*VLOOKUP($B$4,'参数-车系车型 利率'!B:I,2,0)*5),($B$9-$E$29)*VLOOKUP(B29,'参数-车系车型 利率'!$B$78:$C$83,2,0)+($E$29*VLOOKUP($B$4,'参数-车系车型 利率'!B:I,2,0)*5))</f>
        <v>#N/A</v>
      </c>
      <c r="K29" s="304" t="e">
        <f t="shared" ref="K29:K34" si="2">MIN($I$29,J29)</f>
        <v>#N/A</v>
      </c>
      <c r="L29" s="846" t="e">
        <f>VLOOKUP($B$4,'厂贴车型明细&amp;贷款金额说明'!C:K,14,0)</f>
        <v>#N/A</v>
      </c>
      <c r="M29" s="852" t="str">
        <f>VLOOKUP(B4,'参数-方案配置'!C:G,4,0)</f>
        <v>无方案</v>
      </c>
      <c r="N29" s="59"/>
      <c r="O29" s="65" t="s">
        <v>67</v>
      </c>
      <c r="P29" s="787">
        <v>24</v>
      </c>
      <c r="Q29" s="787"/>
      <c r="R29" s="41" t="s">
        <v>68</v>
      </c>
      <c r="S29" s="66"/>
      <c r="T29" s="67"/>
    </row>
    <row r="30" spans="1:25" ht="23.15" hidden="1" customHeight="1">
      <c r="A30" s="842"/>
      <c r="B30" s="305" t="s">
        <v>39</v>
      </c>
      <c r="C30" s="282" t="e">
        <f>ROUNDUP(PMT(VLOOKUP(B4,'参数-车系车型 利率'!B:I,3,0)/12,48,-B9,E29)-(K30+B11)/48,2)</f>
        <v>#N/A</v>
      </c>
      <c r="D30" s="334" t="e">
        <f>C30*48-(B9-E29)</f>
        <v>#N/A</v>
      </c>
      <c r="E30" s="845"/>
      <c r="F30" s="335" t="e">
        <f>RATE(48,-C30,B9,-E29)*12</f>
        <v>#N/A</v>
      </c>
      <c r="G30" s="461"/>
      <c r="H30" s="336" t="e">
        <f>D30/$B$9/4</f>
        <v>#N/A</v>
      </c>
      <c r="I30" s="820"/>
      <c r="J30" s="320" t="e">
        <f>IF($B$3="新君威",($B$9-$E$29)*VLOOKUP(B30,'参数-车系车型 利率'!$K$78:$L$83,2,0)+($E$29*VLOOKUP($B$4,'参数-车系车型 利率'!B:I,3,0)*4),($B$9-$E$29)*VLOOKUP(B30,'参数-车系车型 利率'!$B$78:$C$83,2,0)+($E$29*VLOOKUP($B$4,'参数-车系车型 利率'!B:I,3,0)*4))</f>
        <v>#N/A</v>
      </c>
      <c r="K30" s="304" t="e">
        <f t="shared" si="2"/>
        <v>#N/A</v>
      </c>
      <c r="L30" s="847"/>
      <c r="M30" s="853"/>
      <c r="N30" s="59"/>
      <c r="O30" s="65" t="s">
        <v>69</v>
      </c>
      <c r="P30" s="795" t="e">
        <f>B9-(C29*P29-P32)</f>
        <v>#N/A</v>
      </c>
      <c r="Q30" s="795"/>
      <c r="R30" s="68"/>
      <c r="S30" s="66"/>
      <c r="T30" s="67"/>
    </row>
    <row r="31" spans="1:25" ht="23.15" hidden="1" customHeight="1">
      <c r="A31" s="842"/>
      <c r="B31" s="305" t="s">
        <v>40</v>
      </c>
      <c r="C31" s="283" t="e">
        <f>ROUNDUP(PMT(VLOOKUP(B4,'参数-车系车型 利率'!B:I,4,0)/12,36,-B9,E31)-(K31+B11)/36,2)</f>
        <v>#N/A</v>
      </c>
      <c r="D31" s="334" t="e">
        <f>C31*36-(B9-E31)</f>
        <v>#N/A</v>
      </c>
      <c r="E31" s="848" t="e">
        <f>B8*30%</f>
        <v>#N/A</v>
      </c>
      <c r="F31" s="313" t="e">
        <f>RATE(36,-C31,B9,-E31)*12</f>
        <v>#N/A</v>
      </c>
      <c r="G31" s="336"/>
      <c r="H31" s="336" t="e">
        <f>D31/$B$9/3</f>
        <v>#N/A</v>
      </c>
      <c r="I31" s="820"/>
      <c r="J31" s="320" t="e">
        <f>IF($B$3="新君威",($B$9-$E$29)*VLOOKUP(B31,'参数-车系车型 利率'!$K$78:$L$83,2,0)+($E$31*VLOOKUP($B$4,'参数-车系车型 利率'!B:I,4,0)*3),($B$9-$E$31)*VLOOKUP(B31,'参数-车系车型 利率'!$B$78:$C$83,2,0)+($E$31*VLOOKUP($B$4,'参数-车系车型 利率'!B:I,4,0)*3))</f>
        <v>#N/A</v>
      </c>
      <c r="K31" s="304" t="e">
        <f t="shared" si="2"/>
        <v>#N/A</v>
      </c>
      <c r="L31" s="324" t="e">
        <f>VLOOKUP($B$4,'厂贴车型明细&amp;贷款金额说明'!C:K,13,0)</f>
        <v>#N/A</v>
      </c>
      <c r="M31" s="854" t="str">
        <f>VLOOKUP(B4,'参数-方案配置'!C:G,5,0)</f>
        <v>无方案</v>
      </c>
      <c r="N31" s="59"/>
      <c r="O31" s="65" t="s">
        <v>76</v>
      </c>
      <c r="P31" s="857" t="e">
        <f>D29-P32</f>
        <v>#N/A</v>
      </c>
      <c r="Q31" s="857"/>
      <c r="R31" s="68"/>
      <c r="S31" s="66"/>
      <c r="T31" s="67"/>
    </row>
    <row r="32" spans="1:25" ht="23.15" hidden="1" customHeight="1">
      <c r="A32" s="842"/>
      <c r="B32" s="305" t="s">
        <v>41</v>
      </c>
      <c r="C32" s="283" t="e">
        <f>ROUNDUP(PMT(VLOOKUP(B4,'参数-车系车型 利率'!B:I,5,0)/12,24,-B9,E31)-(K32+B11)/24,2)</f>
        <v>#N/A</v>
      </c>
      <c r="D32" s="334" t="e">
        <f>C32*24-(B9-E31)</f>
        <v>#N/A</v>
      </c>
      <c r="E32" s="849"/>
      <c r="F32" s="313" t="e">
        <f>RATE(24,-C32,B9,-E31)*12</f>
        <v>#N/A</v>
      </c>
      <c r="G32" s="336"/>
      <c r="H32" s="336" t="e">
        <f>D32/$B$9/2</f>
        <v>#N/A</v>
      </c>
      <c r="I32" s="820"/>
      <c r="J32" s="320" t="e">
        <f>IF($B$3="新君威",($B$9-$E$31)*VLOOKUP(B32,'参数-车系车型 利率'!$K$78:$L$83,2,0)+($E$31*VLOOKUP($B$4,'参数-车系车型 利率'!B:I,5,0)*2),($B$9-$E$31)*VLOOKUP(B32,'参数-车系车型 利率'!$B$78:$C$83,2,0)+($E$31*VLOOKUP($B$4,'参数-车系车型 利率'!B:I,5,0)*2))</f>
        <v>#N/A</v>
      </c>
      <c r="K32" s="304" t="e">
        <f t="shared" si="2"/>
        <v>#N/A</v>
      </c>
      <c r="L32" s="324" t="e">
        <f>VLOOKUP($B$4,'厂贴车型明细&amp;贷款金额说明'!C:K,12,0)</f>
        <v>#N/A</v>
      </c>
      <c r="M32" s="855"/>
      <c r="N32" s="59"/>
      <c r="O32" s="71" t="s">
        <v>71</v>
      </c>
      <c r="P32" s="851" t="e">
        <f>(B9*(F29/12)-C29)*((1+(F29/12))^(P29)-1)/(F29/12)+(C29)*P29</f>
        <v>#N/A</v>
      </c>
      <c r="Q32" s="851"/>
    </row>
    <row r="33" spans="1:17" ht="23.15" hidden="1" customHeight="1">
      <c r="A33" s="842"/>
      <c r="B33" s="305" t="s">
        <v>42</v>
      </c>
      <c r="C33" s="283" t="e">
        <f>ROUNDUP(PMT(VLOOKUP(B4,'参数-车系车型 利率'!B:I,6,0)/12,18,-B9,E31)-(K33+B11)/18,2)</f>
        <v>#VALUE!</v>
      </c>
      <c r="D33" s="334" t="e">
        <f>C33*18-(B9-E31)</f>
        <v>#VALUE!</v>
      </c>
      <c r="E33" s="849"/>
      <c r="F33" s="313" t="e">
        <f>RATE(18,-C33,B9,-E31)*12</f>
        <v>#VALUE!</v>
      </c>
      <c r="G33" s="336"/>
      <c r="H33" s="336" t="e">
        <f>D33/$B$9/1.5</f>
        <v>#VALUE!</v>
      </c>
      <c r="I33" s="820"/>
      <c r="J33" s="320" t="e">
        <f>IF($B$3="新君威",($B$9-$E$31)*VLOOKUP(B33,'参数-车系车型 利率'!$K$78:$L$83,2,0)+($E$31*VLOOKUP($B$4,'参数-车系车型 利率'!B:I,6,0)*2),($B$9-$E$31)*VLOOKUP(B33,'参数-车系车型 利率'!$B$78:$C$83,2,0)+($E$31*VLOOKUP($B$4,'参数-车系车型 利率'!B:I,6,0)*1.5))</f>
        <v>#N/A</v>
      </c>
      <c r="K33" s="304" t="e">
        <f t="shared" si="2"/>
        <v>#N/A</v>
      </c>
      <c r="L33" s="322" t="e">
        <f>VLOOKUP($B$4,'厂贴车型明细&amp;贷款金额说明'!C:K,11,0)</f>
        <v>#N/A</v>
      </c>
      <c r="M33" s="855"/>
      <c r="N33" s="59"/>
      <c r="O33" s="71"/>
      <c r="P33" s="87"/>
      <c r="Q33" s="87"/>
    </row>
    <row r="34" spans="1:17" ht="23.15" hidden="1" customHeight="1">
      <c r="A34" s="843"/>
      <c r="B34" s="301" t="s">
        <v>43</v>
      </c>
      <c r="C34" s="283" t="e">
        <f>ROUNDUP(PMT(VLOOKUP(B4,'参数-车系车型 利率'!B:I,7,0)/12,12,-B9,E31)-(K34+B11)/12,2)</f>
        <v>#VALUE!</v>
      </c>
      <c r="D34" s="334" t="e">
        <f>C34*12-(B9-E31)</f>
        <v>#VALUE!</v>
      </c>
      <c r="E34" s="850"/>
      <c r="F34" s="313" t="e">
        <f>RATE(12,-C34,B9,-E31)*12</f>
        <v>#VALUE!</v>
      </c>
      <c r="G34" s="336"/>
      <c r="H34" s="336" t="e">
        <f>D34/$B$9/1</f>
        <v>#VALUE!</v>
      </c>
      <c r="I34" s="821"/>
      <c r="J34" s="320" t="e">
        <f>IF($B$3="新君威",($B$9-$E$31)*VLOOKUP(B34,'参数-车系车型 利率'!$K$78:$L$83,2,0)+($E$31*VLOOKUP($B$4,'参数-车系车型 利率'!B:I,7,0)*1),($B$9-$E$31)*VLOOKUP(B34,'参数-车系车型 利率'!$B$78:$C$83,2,0)+($E$31*VLOOKUP($B$4,'参数-车系车型 利率'!B:I,7,0)*1))</f>
        <v>#N/A</v>
      </c>
      <c r="K34" s="304" t="e">
        <f t="shared" si="2"/>
        <v>#N/A</v>
      </c>
      <c r="L34" s="322" t="e">
        <f>VLOOKUP($B$4,'厂贴车型明细&amp;贷款金额说明'!C:K,10,0)</f>
        <v>#N/A</v>
      </c>
      <c r="M34" s="856"/>
      <c r="N34" s="76"/>
    </row>
    <row r="35" spans="1:17" hidden="1">
      <c r="A35" s="337"/>
      <c r="B35" s="337"/>
      <c r="C35" s="337"/>
      <c r="D35" s="337"/>
      <c r="E35" s="338" t="s">
        <v>73</v>
      </c>
      <c r="F35" s="339"/>
      <c r="G35" s="339"/>
      <c r="H35" s="339"/>
      <c r="I35" s="339"/>
      <c r="J35" s="339"/>
      <c r="K35" s="339"/>
      <c r="L35" s="337"/>
    </row>
    <row r="36" spans="1:17" hidden="1"/>
    <row r="37" spans="1:17" hidden="1"/>
    <row r="38" spans="1:17" hidden="1"/>
    <row r="41" spans="1:17">
      <c r="C41" s="493"/>
      <c r="D41" s="493"/>
      <c r="E41" s="495"/>
    </row>
  </sheetData>
  <sheetProtection algorithmName="SHA-512" hashValue="CjVuj9ErWt92GiZomctd5j2Kbt/ywzIOLg1k8qLGU+yp+zsxbXTW19Sb0Po7xm/+gJGvuishWmPWMKOdkLj8ag==" saltValue="I6vc/hMDB8KyAoZoyTnHfA==" spinCount="100000" sheet="1" objects="1" scenarios="1"/>
  <mergeCells count="29">
    <mergeCell ref="P19:Q19"/>
    <mergeCell ref="P20:Q20"/>
    <mergeCell ref="P21:Q21"/>
    <mergeCell ref="I18:I23"/>
    <mergeCell ref="P18:Q18"/>
    <mergeCell ref="M18:M23"/>
    <mergeCell ref="P32:Q32"/>
    <mergeCell ref="M29:M30"/>
    <mergeCell ref="P29:Q29"/>
    <mergeCell ref="P30:Q30"/>
    <mergeCell ref="M31:M34"/>
    <mergeCell ref="P31:Q31"/>
    <mergeCell ref="A15:A23"/>
    <mergeCell ref="D11:E11"/>
    <mergeCell ref="A26:A34"/>
    <mergeCell ref="E29:E30"/>
    <mergeCell ref="L29:L30"/>
    <mergeCell ref="E31:E34"/>
    <mergeCell ref="I29:I34"/>
    <mergeCell ref="M2:M3"/>
    <mergeCell ref="B5:C5"/>
    <mergeCell ref="B6:C6"/>
    <mergeCell ref="B7:C7"/>
    <mergeCell ref="B8:C8"/>
    <mergeCell ref="B3:C3"/>
    <mergeCell ref="B4:C4"/>
    <mergeCell ref="F6:M11"/>
    <mergeCell ref="B9:C9"/>
    <mergeCell ref="B11:C11"/>
  </mergeCells>
  <phoneticPr fontId="1" type="noConversion"/>
  <conditionalFormatting sqref="B29:D29 F29:H29">
    <cfRule type="expression" dxfId="240" priority="129">
      <formula>$F$29&lt;-0.001%</formula>
    </cfRule>
  </conditionalFormatting>
  <conditionalFormatting sqref="B29:D30 F29:H30">
    <cfRule type="expression" dxfId="239" priority="114">
      <formula>$B$9&lt;$L$29</formula>
    </cfRule>
  </conditionalFormatting>
  <conditionalFormatting sqref="B30:D30 F30:H30">
    <cfRule type="expression" dxfId="238" priority="128">
      <formula>$F$30&lt;-0.001%</formula>
    </cfRule>
  </conditionalFormatting>
  <conditionalFormatting sqref="B31:D31 F31:H31">
    <cfRule type="expression" dxfId="237" priority="127">
      <formula>$F$31&lt;-0.001%</formula>
    </cfRule>
    <cfRule type="expression" dxfId="236" priority="113">
      <formula>$B$9&lt;$L$31</formula>
    </cfRule>
  </conditionalFormatting>
  <conditionalFormatting sqref="B32:D32 F32:H32">
    <cfRule type="expression" dxfId="235" priority="112">
      <formula>$B$9&lt;$L$32</formula>
    </cfRule>
    <cfRule type="expression" dxfId="234" priority="126">
      <formula>$F$32&lt;-0.001%</formula>
    </cfRule>
  </conditionalFormatting>
  <conditionalFormatting sqref="B33:D33 F33:H33">
    <cfRule type="expression" dxfId="233" priority="111">
      <formula>$B$9&lt;$L$33</formula>
    </cfRule>
    <cfRule type="expression" dxfId="232" priority="125">
      <formula>$F$33&lt;-0.001%</formula>
    </cfRule>
  </conditionalFormatting>
  <conditionalFormatting sqref="B34:D34 F34:H34">
    <cfRule type="expression" dxfId="231" priority="124">
      <formula>$F$34&lt;-0.001%</formula>
    </cfRule>
    <cfRule type="expression" dxfId="230" priority="110">
      <formula>$B$9&lt;$L$34</formula>
    </cfRule>
  </conditionalFormatting>
  <conditionalFormatting sqref="B18:G18">
    <cfRule type="expression" dxfId="229" priority="14">
      <formula>$B$9&lt;$L$18</formula>
    </cfRule>
    <cfRule type="expression" dxfId="228" priority="18">
      <formula>$E$18&lt;-0.001%</formula>
    </cfRule>
  </conditionalFormatting>
  <conditionalFormatting sqref="B19:G19">
    <cfRule type="expression" dxfId="227" priority="1">
      <formula>$B$9&lt;$L$19</formula>
    </cfRule>
    <cfRule type="expression" dxfId="226" priority="2">
      <formula>$E$19&lt;-0.001%</formula>
    </cfRule>
  </conditionalFormatting>
  <conditionalFormatting sqref="B20:G20">
    <cfRule type="expression" dxfId="225" priority="3">
      <formula>$B$9&lt;$L$20</formula>
    </cfRule>
    <cfRule type="expression" dxfId="224" priority="4">
      <formula>$E$20&lt;-0.001%</formula>
    </cfRule>
  </conditionalFormatting>
  <conditionalFormatting sqref="B21:G21">
    <cfRule type="expression" dxfId="223" priority="5">
      <formula>$B$9&lt;$L$21</formula>
    </cfRule>
    <cfRule type="expression" dxfId="222" priority="6">
      <formula>$E$21&lt;-0.001%</formula>
    </cfRule>
  </conditionalFormatting>
  <conditionalFormatting sqref="B22:G22">
    <cfRule type="expression" dxfId="221" priority="9">
      <formula>$B$9&lt;$L$22</formula>
    </cfRule>
    <cfRule type="expression" dxfId="220" priority="10">
      <formula>$E$22&lt;-0.001%</formula>
    </cfRule>
  </conditionalFormatting>
  <conditionalFormatting sqref="B23:G23">
    <cfRule type="expression" dxfId="219" priority="7">
      <formula>$B$9&lt;$L$23</formula>
    </cfRule>
    <cfRule type="expression" dxfId="218" priority="8">
      <formula>$E$23&lt;-0.01%</formula>
    </cfRule>
  </conditionalFormatting>
  <conditionalFormatting sqref="C15">
    <cfRule type="expression" dxfId="217" priority="99">
      <formula>$C$15&lt;$E$14</formula>
    </cfRule>
  </conditionalFormatting>
  <conditionalFormatting sqref="C26">
    <cfRule type="expression" dxfId="216" priority="98">
      <formula>$C$26&lt;$E$25</formula>
    </cfRule>
  </conditionalFormatting>
  <conditionalFormatting sqref="C29:H30">
    <cfRule type="expression" dxfId="215" priority="319">
      <formula>$B$9&lt;$E$29</formula>
    </cfRule>
  </conditionalFormatting>
  <conditionalFormatting sqref="C31:H34">
    <cfRule type="expression" dxfId="214" priority="318">
      <formula>$B$9&lt;$E$31</formula>
    </cfRule>
  </conditionalFormatting>
  <conditionalFormatting sqref="D3">
    <cfRule type="expression" dxfId="213" priority="68">
      <formula>$B$3="新君威"</formula>
    </cfRule>
  </conditionalFormatting>
  <conditionalFormatting sqref="D11">
    <cfRule type="expression" dxfId="212" priority="75">
      <formula>$B$11&gt;0</formula>
    </cfRule>
  </conditionalFormatting>
  <conditionalFormatting sqref="D15">
    <cfRule type="expression" dxfId="211" priority="100">
      <formula>$B$15&lt;30%</formula>
    </cfRule>
  </conditionalFormatting>
  <conditionalFormatting sqref="D14:E14">
    <cfRule type="expression" dxfId="210" priority="37">
      <formula>$B$15&lt;$E$14</formula>
    </cfRule>
  </conditionalFormatting>
  <conditionalFormatting sqref="D25:E25">
    <cfRule type="expression" dxfId="209" priority="36">
      <formula>$C$26&lt;20%</formula>
    </cfRule>
  </conditionalFormatting>
  <conditionalFormatting sqref="D26:E26">
    <cfRule type="expression" dxfId="208" priority="105">
      <formula>#REF!&gt;$E$26</formula>
    </cfRule>
  </conditionalFormatting>
  <conditionalFormatting sqref="E29:E30">
    <cfRule type="expression" dxfId="207" priority="309">
      <formula>#REF!&lt;$E$29</formula>
    </cfRule>
  </conditionalFormatting>
  <conditionalFormatting sqref="E35">
    <cfRule type="expression" dxfId="206" priority="310">
      <formula>$B$9&lt;$E$31</formula>
    </cfRule>
    <cfRule type="expression" dxfId="205" priority="311">
      <formula>$B$9&lt;$E$29</formula>
    </cfRule>
  </conditionalFormatting>
  <conditionalFormatting sqref="H26:M26">
    <cfRule type="expression" dxfId="204" priority="61">
      <formula>$M$26&lt;$L$34</formula>
    </cfRule>
  </conditionalFormatting>
  <conditionalFormatting sqref="K18">
    <cfRule type="cellIs" dxfId="203" priority="95" operator="greaterThanOrEqual">
      <formula>$L$18</formula>
    </cfRule>
  </conditionalFormatting>
  <conditionalFormatting sqref="K19">
    <cfRule type="cellIs" dxfId="202" priority="94" operator="greaterThanOrEqual">
      <formula>$L$19</formula>
    </cfRule>
  </conditionalFormatting>
  <conditionalFormatting sqref="K20">
    <cfRule type="cellIs" dxfId="201" priority="93" operator="greaterThanOrEqual">
      <formula>$L$20</formula>
    </cfRule>
  </conditionalFormatting>
  <conditionalFormatting sqref="K21">
    <cfRule type="cellIs" dxfId="200" priority="74" operator="greaterThanOrEqual">
      <formula>$L$21</formula>
    </cfRule>
  </conditionalFormatting>
  <conditionalFormatting sqref="K22">
    <cfRule type="cellIs" dxfId="199" priority="73" operator="greaterThanOrEqual">
      <formula>$L$22</formula>
    </cfRule>
  </conditionalFormatting>
  <conditionalFormatting sqref="K23">
    <cfRule type="cellIs" dxfId="198" priority="72" operator="greaterThanOrEqual">
      <formula>$L$23</formula>
    </cfRule>
  </conditionalFormatting>
  <conditionalFormatting sqref="L18:L19">
    <cfRule type="expression" dxfId="197" priority="275">
      <formula>$B$9&lt;$L18</formula>
    </cfRule>
  </conditionalFormatting>
  <conditionalFormatting sqref="L20">
    <cfRule type="expression" dxfId="196" priority="277">
      <formula>$B$9&lt;$L$20</formula>
    </cfRule>
  </conditionalFormatting>
  <conditionalFormatting sqref="L21">
    <cfRule type="expression" dxfId="195" priority="279">
      <formula>$B$9&lt;$L$21</formula>
    </cfRule>
  </conditionalFormatting>
  <conditionalFormatting sqref="L21:L23">
    <cfRule type="containsText" dxfId="194" priority="278" operator="containsText" text="无方案">
      <formula>NOT(ISERROR(SEARCH("无方案",L21)))</formula>
    </cfRule>
  </conditionalFormatting>
  <conditionalFormatting sqref="L22">
    <cfRule type="expression" dxfId="193" priority="281">
      <formula>$B$9&lt;$L$22</formula>
    </cfRule>
  </conditionalFormatting>
  <conditionalFormatting sqref="L23">
    <cfRule type="expression" dxfId="192" priority="283">
      <formula>$B$9&lt;$L$23</formula>
    </cfRule>
  </conditionalFormatting>
  <conditionalFormatting sqref="L29:L30">
    <cfRule type="expression" dxfId="191" priority="314">
      <formula>$B$9&lt;$L$29</formula>
    </cfRule>
  </conditionalFormatting>
  <conditionalFormatting sqref="L31">
    <cfRule type="expression" dxfId="190" priority="315">
      <formula>$B$9&lt;$L$31</formula>
    </cfRule>
  </conditionalFormatting>
  <conditionalFormatting sqref="L32">
    <cfRule type="expression" dxfId="189" priority="317">
      <formula>$B$9&lt;$L$32</formula>
    </cfRule>
  </conditionalFormatting>
  <conditionalFormatting sqref="L32:L34">
    <cfRule type="containsText" dxfId="188" priority="316" operator="containsText" text="无方案">
      <formula>NOT(ISERROR(SEARCH("无方案",L32)))</formula>
    </cfRule>
  </conditionalFormatting>
  <conditionalFormatting sqref="L33">
    <cfRule type="expression" dxfId="187" priority="323">
      <formula>$B$9&lt;$L$33</formula>
    </cfRule>
  </conditionalFormatting>
  <conditionalFormatting sqref="L34">
    <cfRule type="expression" dxfId="186" priority="321">
      <formula>$B$9&lt;$L$34</formula>
    </cfRule>
  </conditionalFormatting>
  <conditionalFormatting sqref="M18 M29:M34">
    <cfRule type="containsText" dxfId="185" priority="136" operator="containsText" text="无方案">
      <formula>NOT(ISERROR(SEARCH("无方案",M18)))</formula>
    </cfRule>
  </conditionalFormatting>
  <dataValidations count="3">
    <dataValidation type="list" allowBlank="1" showInputMessage="1" showErrorMessage="1" sqref="B3:C3" xr:uid="{00000000-0002-0000-0300-000000000000}">
      <formula1>车系参数</formula1>
    </dataValidation>
    <dataValidation type="list" allowBlank="1" showInputMessage="1" showErrorMessage="1" sqref="B4" xr:uid="{00000000-0002-0000-0300-000001000000}">
      <formula1>INDIRECT($B$3)</formula1>
    </dataValidation>
    <dataValidation type="list" allowBlank="1" showInputMessage="1" showErrorMessage="1" sqref="P2" xr:uid="{00000000-0002-0000-0300-000002000000}">
      <formula1>"20%,15%,30%,25%"</formula1>
    </dataValidation>
  </dataValidations>
  <hyperlinks>
    <hyperlink ref="M2" location="试算路径!A1" display="返回" xr:uid="{00000000-0004-0000-0300-000000000000}"/>
    <hyperlink ref="M2:M3" location="试算路径及方案简述!A1" display="返回" xr:uid="{00000000-0004-0000-0300-000001000000}"/>
  </hyperlinks>
  <pageMargins left="0.7" right="0.7" top="0.75" bottom="0.75" header="0.3" footer="0.3"/>
  <pageSetup orientation="portrait" horizontalDpi="300" verticalDpi="0" copies="0"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theme="8" tint="0.59999389629810485"/>
  </sheetPr>
  <dimension ref="A1:U28"/>
  <sheetViews>
    <sheetView zoomScale="50" zoomScaleNormal="50" workbookViewId="0">
      <pane ySplit="13" topLeftCell="A14" activePane="bottomLeft" state="frozen"/>
      <selection pane="bottomLeft" activeCell="F25" sqref="F25"/>
    </sheetView>
  </sheetViews>
  <sheetFormatPr defaultColWidth="8.75" defaultRowHeight="16.5"/>
  <cols>
    <col min="1" max="1" width="17.08203125" style="23" customWidth="1"/>
    <col min="2" max="2" width="17.33203125" style="23" customWidth="1"/>
    <col min="3" max="3" width="23.33203125" style="23" customWidth="1"/>
    <col min="4" max="4" width="15.58203125" style="23" customWidth="1"/>
    <col min="5" max="5" width="23" style="23" customWidth="1"/>
    <col min="6" max="6" width="20" style="23" customWidth="1"/>
    <col min="7" max="7" width="17.08203125" style="23" customWidth="1"/>
    <col min="8" max="9" width="17.08203125" style="23" hidden="1" customWidth="1"/>
    <col min="10" max="10" width="20" style="23" customWidth="1"/>
    <col min="11" max="11" width="18.33203125" style="23" customWidth="1"/>
    <col min="12" max="12" width="65" style="23" customWidth="1"/>
    <col min="13" max="13" width="2.33203125" style="23" customWidth="1"/>
    <col min="14" max="14" width="23.08203125" style="23" customWidth="1"/>
    <col min="15" max="15" width="19.08203125" style="23" customWidth="1"/>
    <col min="16" max="16" width="11.75" style="23" customWidth="1"/>
    <col min="17" max="17" width="7.75" style="24" customWidth="1"/>
    <col min="18" max="18" width="12.75" style="92" hidden="1" customWidth="1"/>
    <col min="19" max="19" width="9.75" style="92" hidden="1" customWidth="1"/>
    <col min="20" max="20" width="2" style="92" hidden="1" customWidth="1"/>
    <col min="21" max="21" width="8.75" style="24"/>
    <col min="22" max="16384" width="8.75" style="23"/>
  </cols>
  <sheetData>
    <row r="1" spans="1:20" ht="7.5" customHeight="1"/>
    <row r="2" spans="1:20" ht="21.65" customHeight="1">
      <c r="A2" s="25" t="s">
        <v>335</v>
      </c>
      <c r="L2" s="797" t="s">
        <v>286</v>
      </c>
      <c r="N2" s="43"/>
      <c r="O2" s="32"/>
    </row>
    <row r="3" spans="1:20" ht="24" customHeight="1">
      <c r="A3" s="26" t="s">
        <v>45</v>
      </c>
      <c r="B3" s="798" t="s">
        <v>337</v>
      </c>
      <c r="C3" s="798"/>
      <c r="D3" s="264" t="s">
        <v>263</v>
      </c>
      <c r="L3" s="797"/>
      <c r="N3" s="28"/>
      <c r="O3" s="32"/>
    </row>
    <row r="4" spans="1:20" ht="28" customHeight="1">
      <c r="A4" s="77" t="s">
        <v>79</v>
      </c>
      <c r="B4" s="799" t="s">
        <v>81</v>
      </c>
      <c r="C4" s="800"/>
      <c r="L4" s="97"/>
      <c r="M4" s="28"/>
      <c r="N4" s="32"/>
      <c r="O4" s="32"/>
    </row>
    <row r="5" spans="1:20" ht="22.5" customHeight="1">
      <c r="A5" s="30" t="s">
        <v>287</v>
      </c>
      <c r="B5" s="801" t="e">
        <f>VLOOKUP(B4,'厂贴车型明细&amp;贷款金额说明'!C:D,2,0)</f>
        <v>#N/A</v>
      </c>
      <c r="C5" s="801"/>
      <c r="D5" s="31"/>
      <c r="M5" s="32"/>
      <c r="N5" s="37"/>
      <c r="O5" s="32"/>
      <c r="P5" s="35"/>
      <c r="Q5" s="31"/>
    </row>
    <row r="6" spans="1:20" ht="22.75" customHeight="1">
      <c r="A6" s="30" t="s">
        <v>288</v>
      </c>
      <c r="B6" s="798" t="e">
        <f>K18*2</f>
        <v>#N/A</v>
      </c>
      <c r="C6" s="798"/>
      <c r="D6" s="35"/>
      <c r="F6" s="802" t="s">
        <v>316</v>
      </c>
      <c r="G6" s="802"/>
      <c r="H6" s="802"/>
      <c r="I6" s="802"/>
      <c r="J6" s="802"/>
      <c r="K6" s="802"/>
      <c r="L6" s="802"/>
      <c r="M6" s="36"/>
      <c r="N6" s="32"/>
      <c r="O6" s="32"/>
      <c r="Q6" s="31"/>
    </row>
    <row r="7" spans="1:20" ht="22.75" customHeight="1">
      <c r="A7" s="30" t="s">
        <v>289</v>
      </c>
      <c r="B7" s="798">
        <v>0</v>
      </c>
      <c r="C7" s="798"/>
      <c r="D7" s="27"/>
      <c r="E7" s="39"/>
      <c r="F7" s="802"/>
      <c r="G7" s="802"/>
      <c r="H7" s="802"/>
      <c r="I7" s="802"/>
      <c r="J7" s="802"/>
      <c r="K7" s="802"/>
      <c r="L7" s="802"/>
      <c r="M7" s="32"/>
      <c r="O7" s="32"/>
      <c r="Q7" s="384"/>
    </row>
    <row r="8" spans="1:20" ht="22.5" customHeight="1">
      <c r="A8" s="42" t="s">
        <v>49</v>
      </c>
      <c r="B8" s="805" t="e">
        <f>IF((B6+B7)&lt;=B5*115%,(B6+B7),"总价超限,请调整")</f>
        <v>#N/A</v>
      </c>
      <c r="C8" s="805"/>
      <c r="D8" s="43" t="s">
        <v>50</v>
      </c>
      <c r="E8" s="44" t="e">
        <f>B5*115%</f>
        <v>#N/A</v>
      </c>
      <c r="F8" s="802"/>
      <c r="G8" s="802"/>
      <c r="H8" s="802"/>
      <c r="I8" s="802"/>
      <c r="J8" s="802"/>
      <c r="K8" s="802"/>
      <c r="L8" s="802"/>
      <c r="N8" s="46"/>
      <c r="O8" s="32"/>
      <c r="P8" s="24"/>
    </row>
    <row r="9" spans="1:20" s="24" customFormat="1" ht="22.4" hidden="1" customHeight="1">
      <c r="A9" s="45" t="s">
        <v>245</v>
      </c>
      <c r="B9" s="805">
        <v>163000</v>
      </c>
      <c r="C9" s="805"/>
      <c r="E9" s="91"/>
      <c r="F9" s="802"/>
      <c r="G9" s="802"/>
      <c r="H9" s="802"/>
      <c r="I9" s="802"/>
      <c r="J9" s="802"/>
      <c r="K9" s="802"/>
      <c r="L9" s="802"/>
      <c r="M9" s="46"/>
      <c r="N9" s="49"/>
      <c r="O9" s="32"/>
      <c r="P9" s="23"/>
      <c r="R9" s="92"/>
      <c r="S9" s="92"/>
      <c r="T9" s="92"/>
    </row>
    <row r="10" spans="1:20" ht="4" customHeight="1">
      <c r="M10" s="39"/>
      <c r="N10" s="39"/>
      <c r="O10" s="28"/>
      <c r="P10" s="28"/>
    </row>
    <row r="11" spans="1:20" ht="30" hidden="1" customHeight="1">
      <c r="A11" s="47" t="s">
        <v>53</v>
      </c>
      <c r="B11" s="805">
        <v>0</v>
      </c>
      <c r="C11" s="805"/>
      <c r="D11" s="803" t="s">
        <v>130</v>
      </c>
      <c r="E11" s="804"/>
      <c r="M11" s="49"/>
      <c r="N11" s="49"/>
      <c r="O11" s="251"/>
      <c r="P11" s="28"/>
    </row>
    <row r="12" spans="1:20" ht="16.5" customHeight="1">
      <c r="T12" s="393"/>
    </row>
    <row r="13" spans="1:20" ht="22.5" customHeight="1" thickBot="1">
      <c r="A13" s="52" t="s">
        <v>57</v>
      </c>
      <c r="B13" s="53"/>
      <c r="C13" s="54"/>
      <c r="D13" s="381" t="e">
        <f>VLOOKUP($B$3,'参数-车系车型 利率'!P2:Q4,2,0)</f>
        <v>#N/A</v>
      </c>
    </row>
    <row r="14" spans="1:20" ht="32.5" customHeight="1" thickTop="1">
      <c r="A14" s="326" t="s">
        <v>309</v>
      </c>
      <c r="B14" s="368" t="s">
        <v>307</v>
      </c>
      <c r="C14" s="308" t="s">
        <v>59</v>
      </c>
      <c r="D14" s="309" t="s">
        <v>60</v>
      </c>
      <c r="E14" s="369"/>
      <c r="F14" s="370"/>
      <c r="G14" s="341"/>
      <c r="H14" s="327"/>
      <c r="I14" s="327"/>
      <c r="J14" s="328"/>
      <c r="K14" s="329"/>
      <c r="L14" s="371"/>
    </row>
    <row r="15" spans="1:20" ht="26.5" customHeight="1">
      <c r="A15" s="859" t="s">
        <v>308</v>
      </c>
      <c r="B15" s="372" t="e">
        <f>B8*50%</f>
        <v>#N/A</v>
      </c>
      <c r="C15" s="373" t="e">
        <f>B8-B15</f>
        <v>#N/A</v>
      </c>
      <c r="D15" s="313" t="e">
        <f>C15/B8</f>
        <v>#N/A</v>
      </c>
      <c r="E15" s="374"/>
      <c r="F15" s="325"/>
      <c r="G15" s="325"/>
      <c r="H15" s="325"/>
      <c r="I15" s="325"/>
      <c r="J15" s="328"/>
      <c r="K15" s="328"/>
      <c r="L15" s="328"/>
    </row>
    <row r="16" spans="1:20" ht="3.65" customHeight="1">
      <c r="A16" s="860"/>
      <c r="B16" s="271"/>
      <c r="C16" s="271"/>
      <c r="D16" s="271"/>
      <c r="E16" s="271"/>
      <c r="F16" s="367"/>
      <c r="G16" s="271"/>
      <c r="H16" s="271"/>
      <c r="I16" s="271"/>
      <c r="J16" s="271"/>
      <c r="K16" s="271"/>
      <c r="L16" s="271"/>
    </row>
    <row r="17" spans="1:19" ht="33">
      <c r="A17" s="860"/>
      <c r="B17" s="305" t="s">
        <v>61</v>
      </c>
      <c r="C17" s="314" t="s">
        <v>234</v>
      </c>
      <c r="D17" s="358" t="s">
        <v>344</v>
      </c>
      <c r="E17" s="333" t="s">
        <v>279</v>
      </c>
      <c r="F17" s="316" t="s">
        <v>276</v>
      </c>
      <c r="G17" s="316" t="s">
        <v>277</v>
      </c>
      <c r="H17" s="317" t="s">
        <v>266</v>
      </c>
      <c r="I17" s="317" t="s">
        <v>265</v>
      </c>
      <c r="J17" s="375" t="s">
        <v>64</v>
      </c>
      <c r="K17" s="319" t="s">
        <v>19</v>
      </c>
      <c r="L17" s="376" t="s">
        <v>65</v>
      </c>
    </row>
    <row r="18" spans="1:19" ht="40.5" customHeight="1">
      <c r="A18" s="861"/>
      <c r="B18" s="305" t="s">
        <v>43</v>
      </c>
      <c r="C18" s="282" t="e">
        <f>ROUNDUP(PMT(8.48%/12,12,-B15,E18)-(J18+B11)/12,2)</f>
        <v>#N/A</v>
      </c>
      <c r="D18" s="334" t="e">
        <f>C18*12-(B15-E18)</f>
        <v>#N/A</v>
      </c>
      <c r="E18" s="377" t="e">
        <f>B8/2</f>
        <v>#N/A</v>
      </c>
      <c r="F18" s="335" t="e">
        <f>RATE(12,-C18,B15,-E18)*12</f>
        <v>#N/A</v>
      </c>
      <c r="G18" s="313" t="e">
        <f>D18/B15/1</f>
        <v>#N/A</v>
      </c>
      <c r="H18" s="378">
        <f>VLOOKUP($B$4,R:S,2,0)</f>
        <v>11085.2</v>
      </c>
      <c r="I18" s="378"/>
      <c r="J18" s="304">
        <f>MIN(H18,I18)</f>
        <v>11085.2</v>
      </c>
      <c r="K18" s="324" t="e">
        <f>VLOOKUP($B$4,'厂贴车型明细&amp;贷款金额说明'!C:L,15,0)</f>
        <v>#N/A</v>
      </c>
      <c r="L18" s="410" t="str">
        <f>VLOOKUP(B4,'参数-方案配置'!C:H,6,0)</f>
        <v xml:space="preserve">企业申请：厂贴_5.99贴息 新公牌易贷/个体工商户  18期/24-60期 
企业商用：厂贴_5.99贴息 营运租赁  18期/24-36期 </v>
      </c>
    </row>
    <row r="22" spans="1:19">
      <c r="S22" s="379" t="s">
        <v>311</v>
      </c>
    </row>
    <row r="23" spans="1:19" ht="19">
      <c r="R23" s="380" t="s">
        <v>16</v>
      </c>
      <c r="S23" s="385">
        <v>11085.2</v>
      </c>
    </row>
    <row r="24" spans="1:19" ht="19">
      <c r="R24" s="380" t="s">
        <v>17</v>
      </c>
      <c r="S24" s="385">
        <v>12433.4</v>
      </c>
    </row>
    <row r="25" spans="1:19" ht="19">
      <c r="R25" s="380" t="s">
        <v>312</v>
      </c>
      <c r="S25" s="385">
        <v>12508.3</v>
      </c>
    </row>
    <row r="26" spans="1:19" ht="19">
      <c r="R26" s="380" t="s">
        <v>313</v>
      </c>
      <c r="S26" s="385">
        <v>13631.8</v>
      </c>
    </row>
    <row r="27" spans="1:19" ht="19">
      <c r="R27" s="380" t="s">
        <v>314</v>
      </c>
      <c r="S27" s="385">
        <v>14755.3</v>
      </c>
    </row>
    <row r="28" spans="1:19" ht="19">
      <c r="R28" s="380" t="s">
        <v>315</v>
      </c>
      <c r="S28" s="385">
        <v>14755.3</v>
      </c>
    </row>
  </sheetData>
  <sheetProtection algorithmName="SHA-512" hashValue="7JVSJLR3CC1O+BQNWGFh5jTLixa4ASP4c+WgClcGi5RvPgE9tSarM0kuNB+mKE9BCcvluJ+hjPc91z0bSC6UHg==" saltValue="oZyzOvs1rsEwi06viPKRFA==" spinCount="100000" sheet="1" objects="1" scenarios="1"/>
  <mergeCells count="12">
    <mergeCell ref="A15:A18"/>
    <mergeCell ref="B11:C11"/>
    <mergeCell ref="D11:E11"/>
    <mergeCell ref="L2:L3"/>
    <mergeCell ref="B3:C3"/>
    <mergeCell ref="B4:C4"/>
    <mergeCell ref="B5:C5"/>
    <mergeCell ref="B6:C6"/>
    <mergeCell ref="F6:L9"/>
    <mergeCell ref="B7:C7"/>
    <mergeCell ref="B8:C8"/>
    <mergeCell ref="B9:C9"/>
  </mergeCells>
  <phoneticPr fontId="1" type="noConversion"/>
  <conditionalFormatting sqref="B18:G18">
    <cfRule type="expression" dxfId="184" priority="1">
      <formula>$B$15&lt;$K$18</formula>
    </cfRule>
  </conditionalFormatting>
  <conditionalFormatting sqref="D3">
    <cfRule type="expression" dxfId="183" priority="18">
      <formula>$B$3="新君威"</formula>
    </cfRule>
  </conditionalFormatting>
  <conditionalFormatting sqref="D11">
    <cfRule type="expression" dxfId="182" priority="22">
      <formula>$B$11&gt;0</formula>
    </cfRule>
  </conditionalFormatting>
  <conditionalFormatting sqref="K18">
    <cfRule type="expression" dxfId="181" priority="2">
      <formula>$B$15&lt;$K$18</formula>
    </cfRule>
    <cfRule type="containsText" dxfId="180" priority="3" operator="containsText" text="无方案">
      <formula>NOT(ISERROR(SEARCH("无方案",K18)))</formula>
    </cfRule>
    <cfRule type="expression" dxfId="179" priority="4">
      <formula>#REF!&lt;#REF!</formula>
    </cfRule>
  </conditionalFormatting>
  <conditionalFormatting sqref="L18">
    <cfRule type="containsText" dxfId="178" priority="7" operator="containsText" text="无方案">
      <formula>NOT(ISERROR(SEARCH("无方案",L18)))</formula>
    </cfRule>
  </conditionalFormatting>
  <dataValidations count="2">
    <dataValidation type="list" allowBlank="1" showInputMessage="1" showErrorMessage="1" sqref="O2" xr:uid="{00000000-0002-0000-0500-000000000000}">
      <formula1>"20%,15%,30%,25%"</formula1>
    </dataValidation>
    <dataValidation type="list" allowBlank="1" showInputMessage="1" showErrorMessage="1" sqref="B4" xr:uid="{00000000-0002-0000-0500-000001000000}">
      <formula1>INDIRECT($B$3)</formula1>
    </dataValidation>
  </dataValidations>
  <hyperlinks>
    <hyperlink ref="L2" location="试算路径!A1" display="返回" xr:uid="{00000000-0004-0000-0500-000000000000}"/>
    <hyperlink ref="L2:L3" location="试算路径及方案简述!A1" display="返回" xr:uid="{00000000-0004-0000-0500-000001000000}"/>
  </hyperlinks>
  <pageMargins left="0.7" right="0.7" top="0.75" bottom="0.75" header="0.3" footer="0.3"/>
  <pageSetup orientation="portrait" horizontalDpi="300" verticalDpi="0" copies="0" r:id="rId1"/>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0500-000002000000}">
          <x14:formula1>
            <xm:f>'参数-车系车型 利率'!$P$2:$P$7</xm:f>
          </x14:formula1>
          <xm:sqref>B3:C3</xm:sqref>
        </x14:dataValidation>
      </x14:dataValidations>
    </ext>
  </extLs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theme="8" tint="0.59999389629810485"/>
  </sheetPr>
  <dimension ref="A1:U34"/>
  <sheetViews>
    <sheetView zoomScale="50" zoomScaleNormal="50" workbookViewId="0">
      <pane ySplit="13" topLeftCell="A14" activePane="bottomLeft" state="frozen"/>
      <selection pane="bottomLeft" activeCell="L2" sqref="L2:L3"/>
    </sheetView>
  </sheetViews>
  <sheetFormatPr defaultColWidth="8.75" defaultRowHeight="16.5"/>
  <cols>
    <col min="1" max="1" width="17.08203125" style="23" customWidth="1"/>
    <col min="2" max="2" width="17.33203125" style="23" customWidth="1"/>
    <col min="3" max="3" width="22.75" style="23" customWidth="1"/>
    <col min="4" max="4" width="15.75" style="23" customWidth="1"/>
    <col min="5" max="5" width="16.75" style="23" customWidth="1"/>
    <col min="6" max="6" width="20" style="23" customWidth="1"/>
    <col min="7" max="7" width="17.33203125" style="23" customWidth="1"/>
    <col min="8" max="9" width="17.33203125" style="23" hidden="1" customWidth="1"/>
    <col min="10" max="10" width="19.58203125" style="23" customWidth="1"/>
    <col min="11" max="11" width="22.58203125" style="23" customWidth="1"/>
    <col min="12" max="12" width="59.08203125" style="23" customWidth="1"/>
    <col min="13" max="13" width="2.33203125" style="23" customWidth="1"/>
    <col min="14" max="14" width="23.08203125" style="23" customWidth="1"/>
    <col min="15" max="15" width="19.08203125" style="23" customWidth="1"/>
    <col min="16" max="16" width="11.75" style="23" customWidth="1"/>
    <col min="17" max="21" width="7.75" style="23" customWidth="1"/>
    <col min="22" max="16384" width="8.75" style="23"/>
  </cols>
  <sheetData>
    <row r="1" spans="1:20" ht="7.5" customHeight="1">
      <c r="R1" s="24"/>
      <c r="S1" s="24"/>
    </row>
    <row r="2" spans="1:20" ht="21.65" customHeight="1">
      <c r="A2" s="25" t="s">
        <v>335</v>
      </c>
      <c r="L2" s="797" t="s">
        <v>286</v>
      </c>
      <c r="N2" s="43" t="s">
        <v>84</v>
      </c>
      <c r="O2" s="81">
        <v>0.2</v>
      </c>
      <c r="R2" s="24"/>
      <c r="S2" s="24"/>
    </row>
    <row r="3" spans="1:20" ht="24" customHeight="1">
      <c r="A3" s="26" t="s">
        <v>45</v>
      </c>
      <c r="B3" s="798" t="s">
        <v>336</v>
      </c>
      <c r="C3" s="798"/>
      <c r="L3" s="797"/>
      <c r="N3" s="28" t="s">
        <v>46</v>
      </c>
      <c r="O3" s="29">
        <v>699</v>
      </c>
      <c r="R3" s="24"/>
      <c r="S3" s="24"/>
    </row>
    <row r="4" spans="1:20" ht="28" customHeight="1">
      <c r="A4" s="77" t="s">
        <v>79</v>
      </c>
      <c r="B4" s="800" t="s">
        <v>90</v>
      </c>
      <c r="C4" s="800"/>
      <c r="L4" s="96"/>
      <c r="M4" s="28"/>
      <c r="N4" s="32" t="s">
        <v>47</v>
      </c>
      <c r="O4" s="33">
        <f>B6</f>
        <v>100000</v>
      </c>
      <c r="S4" s="27"/>
    </row>
    <row r="5" spans="1:20" ht="22.75" customHeight="1">
      <c r="A5" s="30" t="s">
        <v>287</v>
      </c>
      <c r="B5" s="801">
        <f>VLOOKUP(B4,'厂贴车型明细&amp;贷款金额说明'!C:D,2,0)</f>
        <v>112800</v>
      </c>
      <c r="C5" s="801"/>
      <c r="D5" s="31"/>
      <c r="M5" s="32"/>
      <c r="N5" s="37" t="s">
        <v>83</v>
      </c>
      <c r="O5" s="38">
        <f>(O4*O2-O3)/(1-O2)+1</f>
        <v>24127.25</v>
      </c>
      <c r="P5" s="35" t="s">
        <v>85</v>
      </c>
      <c r="Q5" s="34"/>
      <c r="S5" s="27"/>
    </row>
    <row r="6" spans="1:20" ht="22.75" customHeight="1">
      <c r="A6" s="30" t="s">
        <v>288</v>
      </c>
      <c r="B6" s="798">
        <v>100000</v>
      </c>
      <c r="C6" s="798"/>
      <c r="D6" s="35"/>
      <c r="F6" s="802" t="s">
        <v>274</v>
      </c>
      <c r="G6" s="802"/>
      <c r="H6" s="802"/>
      <c r="I6" s="802"/>
      <c r="J6" s="802"/>
      <c r="K6" s="802"/>
      <c r="L6" s="802"/>
      <c r="M6" s="36"/>
      <c r="N6" s="32" t="s">
        <v>48</v>
      </c>
      <c r="O6" s="40">
        <f>O4-O3</f>
        <v>99301</v>
      </c>
      <c r="Q6" s="34"/>
    </row>
    <row r="7" spans="1:20" ht="22.75" customHeight="1">
      <c r="A7" s="30" t="s">
        <v>289</v>
      </c>
      <c r="B7" s="798">
        <v>0</v>
      </c>
      <c r="C7" s="798"/>
      <c r="D7" s="27"/>
      <c r="E7" s="39"/>
      <c r="F7" s="802"/>
      <c r="G7" s="802"/>
      <c r="H7" s="802"/>
      <c r="I7" s="802"/>
      <c r="J7" s="802"/>
      <c r="K7" s="802"/>
      <c r="L7" s="802"/>
      <c r="M7" s="32"/>
      <c r="Q7" s="41"/>
    </row>
    <row r="8" spans="1:20" ht="22.75" customHeight="1">
      <c r="A8" s="42" t="s">
        <v>49</v>
      </c>
      <c r="B8" s="805">
        <f>IF((B6+B7)&lt;=B5*115%,(B6+B7),"总价超限,请调整")</f>
        <v>100000</v>
      </c>
      <c r="C8" s="805"/>
      <c r="D8" s="43" t="s">
        <v>50</v>
      </c>
      <c r="E8" s="44">
        <f>B6*115%</f>
        <v>114999.99999999999</v>
      </c>
      <c r="F8" s="802"/>
      <c r="G8" s="802"/>
      <c r="H8" s="802"/>
      <c r="I8" s="802"/>
      <c r="J8" s="802"/>
      <c r="K8" s="802"/>
      <c r="L8" s="802"/>
      <c r="N8" s="46" t="s">
        <v>52</v>
      </c>
      <c r="O8" s="82">
        <v>2399</v>
      </c>
      <c r="P8" s="24"/>
    </row>
    <row r="9" spans="1:20" s="24" customFormat="1" ht="22.4" customHeight="1">
      <c r="A9" s="45" t="s">
        <v>245</v>
      </c>
      <c r="B9" s="813">
        <v>30000</v>
      </c>
      <c r="C9" s="813"/>
      <c r="E9" s="91"/>
      <c r="F9" s="802"/>
      <c r="G9" s="802"/>
      <c r="H9" s="802"/>
      <c r="I9" s="802"/>
      <c r="J9" s="802"/>
      <c r="K9" s="802"/>
      <c r="L9" s="802"/>
      <c r="M9" s="46"/>
      <c r="N9" s="49" t="s">
        <v>55</v>
      </c>
      <c r="O9" s="50">
        <f>PV(6.88%/12,60,-(O8+G18/60))</f>
        <v>123234.30928514409</v>
      </c>
      <c r="P9" s="23"/>
    </row>
    <row r="10" spans="1:20" ht="4" customHeight="1">
      <c r="M10" s="39"/>
      <c r="N10" s="39"/>
      <c r="O10" s="28"/>
      <c r="P10" s="28"/>
    </row>
    <row r="11" spans="1:20" ht="30" customHeight="1">
      <c r="A11" s="47" t="s">
        <v>53</v>
      </c>
      <c r="B11" s="865">
        <v>0</v>
      </c>
      <c r="C11" s="865"/>
      <c r="D11" s="48" t="s">
        <v>54</v>
      </c>
      <c r="M11" s="49"/>
      <c r="N11" s="49"/>
      <c r="O11" s="28"/>
      <c r="P11" s="28"/>
    </row>
    <row r="12" spans="1:20" ht="16.5" customHeight="1">
      <c r="T12" s="51" t="s">
        <v>56</v>
      </c>
    </row>
    <row r="13" spans="1:20" ht="22.5" customHeight="1" thickBot="1">
      <c r="A13" s="52" t="s">
        <v>57</v>
      </c>
      <c r="B13" s="53"/>
      <c r="C13" s="54"/>
      <c r="D13" s="92"/>
    </row>
    <row r="14" spans="1:20" ht="22" customHeight="1" thickTop="1">
      <c r="A14" s="307" t="s">
        <v>58</v>
      </c>
      <c r="B14" s="308" t="s">
        <v>59</v>
      </c>
      <c r="C14" s="309" t="s">
        <v>60</v>
      </c>
      <c r="D14" s="342" t="s">
        <v>280</v>
      </c>
      <c r="E14" s="344">
        <f>VLOOKUP($B$3,'参数-车系车型 利率'!P2:Q7,2,0)</f>
        <v>0.2</v>
      </c>
      <c r="F14" s="340"/>
      <c r="G14" s="311"/>
      <c r="H14" s="264"/>
      <c r="I14" s="264"/>
      <c r="J14" s="310"/>
      <c r="K14" s="310"/>
      <c r="L14" s="264"/>
      <c r="M14" s="27"/>
    </row>
    <row r="15" spans="1:20" ht="26.15" customHeight="1">
      <c r="A15" s="842" t="s">
        <v>275</v>
      </c>
      <c r="B15" s="312">
        <f>B8-B9</f>
        <v>70000</v>
      </c>
      <c r="C15" s="313">
        <f>B15/B8</f>
        <v>0.7</v>
      </c>
      <c r="D15" s="271"/>
      <c r="E15" s="311"/>
      <c r="F15" s="340"/>
      <c r="G15" s="311"/>
      <c r="H15" s="264"/>
      <c r="I15" s="264"/>
      <c r="J15" s="264"/>
      <c r="K15" s="264"/>
      <c r="L15" s="264"/>
      <c r="M15" s="27"/>
    </row>
    <row r="16" spans="1:20" ht="0.65" customHeight="1">
      <c r="A16" s="842"/>
      <c r="B16" s="271"/>
      <c r="C16" s="271"/>
      <c r="D16" s="271"/>
      <c r="E16" s="271"/>
      <c r="F16" s="271"/>
      <c r="G16" s="271"/>
      <c r="H16" s="271"/>
      <c r="I16" s="271"/>
      <c r="J16" s="271"/>
      <c r="K16" s="271"/>
      <c r="L16" s="271"/>
    </row>
    <row r="17" spans="1:21" ht="22" customHeight="1">
      <c r="A17" s="842"/>
      <c r="B17" s="305" t="s">
        <v>61</v>
      </c>
      <c r="C17" s="314" t="s">
        <v>234</v>
      </c>
      <c r="D17" s="299" t="s">
        <v>344</v>
      </c>
      <c r="E17" s="315" t="s">
        <v>276</v>
      </c>
      <c r="F17" s="300" t="s">
        <v>277</v>
      </c>
      <c r="G17" s="316" t="s">
        <v>64</v>
      </c>
      <c r="H17" s="317" t="s">
        <v>266</v>
      </c>
      <c r="I17" s="317" t="s">
        <v>265</v>
      </c>
      <c r="J17" s="318" t="s">
        <v>270</v>
      </c>
      <c r="K17" s="319" t="s">
        <v>19</v>
      </c>
      <c r="L17" s="316" t="s">
        <v>65</v>
      </c>
      <c r="M17" s="59"/>
      <c r="N17" s="60" t="s">
        <v>66</v>
      </c>
    </row>
    <row r="18" spans="1:21" ht="22" customHeight="1">
      <c r="A18" s="842"/>
      <c r="B18" s="301" t="s">
        <v>38</v>
      </c>
      <c r="C18" s="282">
        <f>ROUNDUP(PMT(VLOOKUP(B4,'参数-车系车型 利率'!B:O,14,0)/12,60,-$B$9)-(G18+B11)/60,2)</f>
        <v>598.78</v>
      </c>
      <c r="D18" s="382">
        <f>C18*60-B9</f>
        <v>5926.7999999999956</v>
      </c>
      <c r="E18" s="302">
        <f>RATE(60,-C18,B9)*12</f>
        <v>7.3343670067214456E-2</v>
      </c>
      <c r="F18" s="303">
        <f>D18/$B$9/5</f>
        <v>3.9511999999999971E-2</v>
      </c>
      <c r="G18" s="304">
        <f t="shared" ref="G18:G23" si="0">MIN($H$18,I18)</f>
        <v>2052.96</v>
      </c>
      <c r="H18" s="819">
        <f>VLOOKUP($B$4,'厂贴车型明细&amp;贷款金额说明'!C:E,3,0)</f>
        <v>2052.96</v>
      </c>
      <c r="I18" s="320">
        <f>$B$9*VLOOKUP(B18,'参数-车系车型 利率'!$B$78:$G$83,6,0)</f>
        <v>5539.9061032863847</v>
      </c>
      <c r="J18" s="321">
        <f>ROUNDUP(H18/VLOOKUP(B18,'参数-车系车型 利率'!B78:G83,6,0),0)</f>
        <v>11118</v>
      </c>
      <c r="K18" s="322">
        <f>VLOOKUP($B$3,O23:T26,2,0)</f>
        <v>30000</v>
      </c>
      <c r="L18" s="816" t="e">
        <f>VLOOKUP(B4,'参数-方案配置'!C:K,14,0)</f>
        <v>#REF!</v>
      </c>
      <c r="M18" s="59"/>
      <c r="N18" s="65" t="s">
        <v>67</v>
      </c>
      <c r="O18" s="787">
        <v>24</v>
      </c>
      <c r="P18" s="787"/>
      <c r="Q18" s="41" t="s">
        <v>68</v>
      </c>
      <c r="R18" s="66"/>
      <c r="S18" s="67"/>
    </row>
    <row r="19" spans="1:21" ht="22" customHeight="1">
      <c r="A19" s="842"/>
      <c r="B19" s="301" t="s">
        <v>39</v>
      </c>
      <c r="C19" s="282">
        <f>ROUNDUP(PMT(VLOOKUP(B4,'参数-车系车型 利率'!B:O,14,0)/12,48,-$B$9)-(G19+B11)/48,2)</f>
        <v>713.8</v>
      </c>
      <c r="D19" s="382">
        <f>C19*48-B9</f>
        <v>4262.3999999999942</v>
      </c>
      <c r="E19" s="302">
        <f>RATE(48,-C19,B9)*12</f>
        <v>6.669771878007616E-2</v>
      </c>
      <c r="F19" s="303">
        <f>D19/$B$9/4</f>
        <v>3.5519999999999954E-2</v>
      </c>
      <c r="G19" s="304">
        <f t="shared" si="0"/>
        <v>2052.96</v>
      </c>
      <c r="H19" s="820"/>
      <c r="I19" s="320">
        <f>$B$9*VLOOKUP(B19,'参数-车系车型 利率'!$B$78:$G$83,6,0)</f>
        <v>4401.1603812681315</v>
      </c>
      <c r="J19" s="321">
        <f>ROUNDUP(H18/VLOOKUP(B19,'参数-车系车型 利率'!B78:G83,6,0),0)</f>
        <v>13994</v>
      </c>
      <c r="K19" s="322">
        <f>VLOOKUP($B$3,O23:T26,3,0)</f>
        <v>30000</v>
      </c>
      <c r="L19" s="817"/>
      <c r="M19" s="59"/>
      <c r="N19" s="65" t="s">
        <v>69</v>
      </c>
      <c r="O19" s="795">
        <f>B9-(C18*O18-O21)</f>
        <v>19296.682454052268</v>
      </c>
      <c r="P19" s="795"/>
      <c r="Q19" s="68"/>
      <c r="R19" s="66"/>
      <c r="S19" s="67"/>
    </row>
    <row r="20" spans="1:21" ht="22" customHeight="1">
      <c r="A20" s="842"/>
      <c r="B20" s="301" t="s">
        <v>40</v>
      </c>
      <c r="C20" s="283">
        <f>ROUNDUP(PMT(VLOOKUP(B4,'参数-车系车型 利率'!B:O,14,0)/12,36,-$B$9)-(G20+B11)/36,2)</f>
        <v>906.77</v>
      </c>
      <c r="D20" s="383">
        <f>C20*36-B9</f>
        <v>2643.7200000000012</v>
      </c>
      <c r="E20" s="302">
        <f>RATE(36,-C20,B9)*12</f>
        <v>5.5659716227910938E-2</v>
      </c>
      <c r="F20" s="303">
        <f>D20/$B$9/3</f>
        <v>2.9374666666666677E-2</v>
      </c>
      <c r="G20" s="304">
        <f t="shared" si="0"/>
        <v>2052.96</v>
      </c>
      <c r="H20" s="820"/>
      <c r="I20" s="320">
        <f>$B$9*VLOOKUP(B20,'参数-车系车型 利率'!$B$78:$G$83,6,0)</f>
        <v>3287.9256965944273</v>
      </c>
      <c r="J20" s="321">
        <f>ROUNDUP(H18/VLOOKUP(B20,'参数-车系车型 利率'!B78:G83,6,0),0)</f>
        <v>18732</v>
      </c>
      <c r="K20" s="322">
        <f>VLOOKUP($B$3,O23:T26,4,0)</f>
        <v>30000</v>
      </c>
      <c r="L20" s="817"/>
      <c r="M20" s="59"/>
      <c r="N20" s="69" t="s">
        <v>70</v>
      </c>
      <c r="O20" s="796">
        <f>D18-O21</f>
        <v>2259.3975459477278</v>
      </c>
      <c r="P20" s="796"/>
      <c r="Q20" s="68"/>
      <c r="R20" s="66"/>
      <c r="S20" s="67"/>
    </row>
    <row r="21" spans="1:21" ht="22" customHeight="1">
      <c r="A21" s="842"/>
      <c r="B21" s="301" t="s">
        <v>41</v>
      </c>
      <c r="C21" s="283">
        <f>ROUNDUP(PMT(VLOOKUP(B4,'参数-车系车型 利率'!B:O,14,0)/12,24,-$B$9)-(G21+B11)/24,2)</f>
        <v>1294.6600000000001</v>
      </c>
      <c r="D21" s="383">
        <f>C21*24-B9</f>
        <v>1071.8400000000038</v>
      </c>
      <c r="E21" s="302">
        <f>RATE(24,-C21,B9)*12</f>
        <v>3.3931632985677071E-2</v>
      </c>
      <c r="F21" s="303">
        <f>D21/$B$9/2</f>
        <v>1.7864000000000064E-2</v>
      </c>
      <c r="G21" s="304">
        <f t="shared" si="0"/>
        <v>2052.96</v>
      </c>
      <c r="H21" s="820"/>
      <c r="I21" s="320">
        <f>$B$9*VLOOKUP(B21,'参数-车系车型 利率'!$B$78:$G$83,6,0)</f>
        <v>2196.7565722089453</v>
      </c>
      <c r="J21" s="321">
        <f>ROUNDUP(H18/VLOOKUP(B21,'参数-车系车型 利率'!B78:G83,6,0),0)</f>
        <v>28037</v>
      </c>
      <c r="K21" s="322" t="str">
        <f>VLOOKUP($B$3,O23:T26,5,0)</f>
        <v>无方案</v>
      </c>
      <c r="L21" s="817"/>
      <c r="M21" s="70"/>
      <c r="N21" s="71" t="s">
        <v>71</v>
      </c>
      <c r="O21" s="851">
        <f>(B9*(E18/12)-C18)*((1+(E18/12))^(O18)-1)/(E18/12)+(C18)*O18</f>
        <v>3667.4024540522678</v>
      </c>
      <c r="P21" s="851"/>
      <c r="Q21" s="72"/>
      <c r="R21" s="72"/>
      <c r="S21" s="72"/>
    </row>
    <row r="22" spans="1:21" ht="22" customHeight="1">
      <c r="A22" s="842"/>
      <c r="B22" s="305" t="s">
        <v>42</v>
      </c>
      <c r="C22" s="283">
        <f>ROUNDUP(PMT(VLOOKUP(B4,'参数-车系车型 利率'!B:O,14,0)/12,18,-$B$9)-(G22+B11)/18,2)</f>
        <v>1705.34</v>
      </c>
      <c r="D22" s="383">
        <f>C22*18-B9</f>
        <v>696.11999999999898</v>
      </c>
      <c r="E22" s="302">
        <f>RATE(18,-C22,B9)*12</f>
        <v>2.9110479165929952E-2</v>
      </c>
      <c r="F22" s="303">
        <f>D22/$B$9/1.5</f>
        <v>1.5469333333333312E-2</v>
      </c>
      <c r="G22" s="304">
        <f t="shared" si="0"/>
        <v>1660.1702581707686</v>
      </c>
      <c r="H22" s="820"/>
      <c r="I22" s="320">
        <f>$B$9*VLOOKUP(B22,'参数-车系车型 利率'!$B$78:$G$83,6,0)</f>
        <v>1660.1702581707686</v>
      </c>
      <c r="J22" s="321">
        <f>ROUNDUP(H18/VLOOKUP(B22,'参数-车系车型 利率'!B78:G83,6,0),0)</f>
        <v>37098</v>
      </c>
      <c r="K22" s="322" t="str">
        <f>VLOOKUP($B$3,O23:T26,6,0)</f>
        <v>无方案</v>
      </c>
      <c r="L22" s="817"/>
      <c r="M22" s="70"/>
      <c r="N22" s="72"/>
      <c r="O22" s="72"/>
      <c r="P22" s="72" t="s">
        <v>38</v>
      </c>
      <c r="Q22" s="72" t="s">
        <v>39</v>
      </c>
      <c r="R22" s="72" t="s">
        <v>40</v>
      </c>
      <c r="S22" s="72" t="s">
        <v>41</v>
      </c>
      <c r="T22" s="72" t="s">
        <v>42</v>
      </c>
      <c r="U22" s="72" t="s">
        <v>43</v>
      </c>
    </row>
    <row r="23" spans="1:21" ht="22" customHeight="1">
      <c r="A23" s="843"/>
      <c r="B23" s="301" t="s">
        <v>43</v>
      </c>
      <c r="C23" s="283">
        <f>ROUNDUP(PMT(VLOOKUP(B4,'参数-车系车型 利率'!B:O,14,0)/12,12,-$B$9)-(G23+B11)/12,2)</f>
        <v>2539.15</v>
      </c>
      <c r="D23" s="383">
        <f>C23*12-B9</f>
        <v>469.80000000000291</v>
      </c>
      <c r="E23" s="306">
        <f>RATE(12,-C23,B9)*12</f>
        <v>2.878434032587187E-2</v>
      </c>
      <c r="F23" s="303">
        <f>D23/$B$9/1</f>
        <v>1.5660000000000097E-2</v>
      </c>
      <c r="G23" s="304">
        <f t="shared" si="0"/>
        <v>1129.7872340425531</v>
      </c>
      <c r="H23" s="821"/>
      <c r="I23" s="320">
        <f>$B$9*VLOOKUP(B23,'参数-车系车型 利率'!$B$78:$G$83,6,0)</f>
        <v>1129.7872340425531</v>
      </c>
      <c r="J23" s="321">
        <f>ROUNDUP(H18/VLOOKUP(B23,'参数-车系车型 利率'!B78:G83,6,0),0)+1</f>
        <v>54515</v>
      </c>
      <c r="K23" s="322" t="str">
        <f>VLOOKUP($B$3,O23:U26,7,0)</f>
        <v>无方案</v>
      </c>
      <c r="L23" s="818"/>
      <c r="M23" s="70"/>
      <c r="N23" s="72"/>
      <c r="O23" s="27" t="s">
        <v>299</v>
      </c>
      <c r="P23" s="27">
        <v>30000</v>
      </c>
      <c r="Q23" s="27">
        <v>30000</v>
      </c>
      <c r="R23" s="27">
        <v>30000</v>
      </c>
      <c r="S23" s="92" t="s">
        <v>18</v>
      </c>
      <c r="T23" s="92" t="s">
        <v>18</v>
      </c>
      <c r="U23" s="92" t="s">
        <v>284</v>
      </c>
    </row>
    <row r="24" spans="1:21">
      <c r="O24" s="27" t="s">
        <v>282</v>
      </c>
      <c r="P24" s="27">
        <v>25000</v>
      </c>
      <c r="Q24" s="27">
        <v>25000</v>
      </c>
      <c r="R24" s="27">
        <v>25000</v>
      </c>
      <c r="S24" s="27">
        <v>25000</v>
      </c>
      <c r="T24" s="27">
        <v>25000</v>
      </c>
      <c r="U24" s="27">
        <v>25000</v>
      </c>
    </row>
    <row r="25" spans="1:21" ht="17" thickBot="1">
      <c r="O25" s="27" t="s">
        <v>283</v>
      </c>
      <c r="P25" s="27">
        <v>25000</v>
      </c>
      <c r="Q25" s="27">
        <v>25000</v>
      </c>
      <c r="R25" s="27">
        <v>25000</v>
      </c>
      <c r="S25" s="27">
        <v>25000</v>
      </c>
      <c r="T25" s="27">
        <v>25000</v>
      </c>
      <c r="U25" s="27">
        <v>25000</v>
      </c>
    </row>
    <row r="26" spans="1:21" ht="23" thickBot="1">
      <c r="A26" s="93" t="s">
        <v>128</v>
      </c>
      <c r="B26" s="94"/>
      <c r="O26" s="27" t="s">
        <v>264</v>
      </c>
      <c r="P26" s="27">
        <v>25000</v>
      </c>
      <c r="Q26" s="27">
        <v>25000</v>
      </c>
      <c r="R26" s="27">
        <v>25000</v>
      </c>
      <c r="S26" s="27">
        <v>25000</v>
      </c>
      <c r="T26" s="27">
        <v>25000</v>
      </c>
      <c r="U26" s="27">
        <v>25000</v>
      </c>
    </row>
    <row r="27" spans="1:21" ht="278.5" customHeight="1" thickBot="1">
      <c r="A27" s="862" t="s">
        <v>129</v>
      </c>
      <c r="B27" s="863"/>
      <c r="C27" s="863"/>
      <c r="D27" s="863"/>
      <c r="E27" s="863"/>
      <c r="F27" s="864"/>
    </row>
    <row r="28" spans="1:21" ht="16.5" customHeight="1"/>
    <row r="29" spans="1:21" ht="16.5" customHeight="1"/>
    <row r="30" spans="1:21" ht="16.5" customHeight="1"/>
    <row r="31" spans="1:21" ht="16.5" customHeight="1"/>
    <row r="32" spans="1:21" ht="16.5" customHeight="1"/>
    <row r="33" ht="16.5" customHeight="1"/>
    <row r="34" ht="17.149999999999999" customHeight="1"/>
  </sheetData>
  <sheetProtection algorithmName="SHA-512" hashValue="VNGNmr3trmb47dPIWgeY5P2y/KCR4pXuoD2JAF+MmCaLAilMY5MQ4k4hRCxZQrE2Bonm6qQh8I7bHycJvUxNYg==" saltValue="rXZzHQY0gdelAaKpE7MuXw==" spinCount="100000" sheet="1"/>
  <mergeCells count="18">
    <mergeCell ref="A27:F27"/>
    <mergeCell ref="B11:C11"/>
    <mergeCell ref="A15:A23"/>
    <mergeCell ref="O18:P18"/>
    <mergeCell ref="O19:P19"/>
    <mergeCell ref="O20:P20"/>
    <mergeCell ref="O21:P21"/>
    <mergeCell ref="L18:L23"/>
    <mergeCell ref="H18:H23"/>
    <mergeCell ref="B3:C3"/>
    <mergeCell ref="B4:C4"/>
    <mergeCell ref="B5:C5"/>
    <mergeCell ref="B6:C6"/>
    <mergeCell ref="F6:L9"/>
    <mergeCell ref="B7:C7"/>
    <mergeCell ref="B8:C8"/>
    <mergeCell ref="B9:C9"/>
    <mergeCell ref="L2:L3"/>
  </mergeCells>
  <phoneticPr fontId="1" type="noConversion"/>
  <conditionalFormatting sqref="B18:F18">
    <cfRule type="expression" dxfId="177" priority="69">
      <formula>$B$9&lt;$K$18</formula>
    </cfRule>
    <cfRule type="expression" dxfId="176" priority="82">
      <formula>$E$18&lt;-0.001%</formula>
    </cfRule>
  </conditionalFormatting>
  <conditionalFormatting sqref="B19:F19">
    <cfRule type="expression" dxfId="175" priority="68">
      <formula>$B$9&lt;$K$19</formula>
    </cfRule>
    <cfRule type="expression" dxfId="174" priority="81">
      <formula>$E$19&lt;-0.001%</formula>
    </cfRule>
  </conditionalFormatting>
  <conditionalFormatting sqref="B20:F20">
    <cfRule type="expression" dxfId="173" priority="67">
      <formula>$B$9&lt;$K$20</formula>
    </cfRule>
    <cfRule type="expression" dxfId="172" priority="80">
      <formula>$E$20&lt;-0.001%</formula>
    </cfRule>
  </conditionalFormatting>
  <conditionalFormatting sqref="B21:F21">
    <cfRule type="expression" dxfId="171" priority="66">
      <formula>$B$9&lt;$K$21</formula>
    </cfRule>
    <cfRule type="expression" dxfId="170" priority="79">
      <formula>$E$21&lt;-0.001%</formula>
    </cfRule>
  </conditionalFormatting>
  <conditionalFormatting sqref="B22:F22">
    <cfRule type="expression" dxfId="169" priority="65">
      <formula>$B$9&lt;$K$22</formula>
    </cfRule>
    <cfRule type="expression" dxfId="168" priority="78">
      <formula>$E$22&lt;-0.001%</formula>
    </cfRule>
  </conditionalFormatting>
  <conditionalFormatting sqref="B23:F23">
    <cfRule type="expression" dxfId="167" priority="64">
      <formula>$B$9&lt;$K$23</formula>
    </cfRule>
    <cfRule type="expression" dxfId="166" priority="77">
      <formula>$E$23&lt;-0.001%</formula>
    </cfRule>
  </conditionalFormatting>
  <conditionalFormatting sqref="C15">
    <cfRule type="expression" dxfId="165" priority="48">
      <formula>$C$15&lt;$E$14</formula>
    </cfRule>
  </conditionalFormatting>
  <conditionalFormatting sqref="D14:E14">
    <cfRule type="expression" dxfId="164" priority="22">
      <formula>$C$15&lt;$E$14</formula>
    </cfRule>
  </conditionalFormatting>
  <conditionalFormatting sqref="E15:F15">
    <cfRule type="expression" dxfId="163" priority="413">
      <formula>#REF!&gt;$F$15</formula>
    </cfRule>
  </conditionalFormatting>
  <conditionalFormatting sqref="J18">
    <cfRule type="cellIs" dxfId="162" priority="45" operator="greaterThanOrEqual">
      <formula>$K$18</formula>
    </cfRule>
  </conditionalFormatting>
  <conditionalFormatting sqref="J19">
    <cfRule type="cellIs" dxfId="161" priority="44" operator="greaterThanOrEqual">
      <formula>$K$19</formula>
    </cfRule>
  </conditionalFormatting>
  <conditionalFormatting sqref="J20">
    <cfRule type="cellIs" dxfId="160" priority="25" operator="greaterThanOrEqual">
      <formula>$K$20</formula>
    </cfRule>
  </conditionalFormatting>
  <conditionalFormatting sqref="J21">
    <cfRule type="cellIs" dxfId="159" priority="43" operator="greaterThanOrEqual">
      <formula>$K$21</formula>
    </cfRule>
  </conditionalFormatting>
  <conditionalFormatting sqref="J22">
    <cfRule type="cellIs" dxfId="158" priority="24" operator="greaterThanOrEqual">
      <formula>$K$22</formula>
    </cfRule>
  </conditionalFormatting>
  <conditionalFormatting sqref="J23">
    <cfRule type="cellIs" dxfId="157" priority="23" operator="greaterThanOrEqual">
      <formula>$K$23</formula>
    </cfRule>
  </conditionalFormatting>
  <conditionalFormatting sqref="K18:K19">
    <cfRule type="expression" dxfId="156" priority="8">
      <formula>$B$9&lt;$K18</formula>
    </cfRule>
  </conditionalFormatting>
  <conditionalFormatting sqref="K20">
    <cfRule type="expression" dxfId="155" priority="7">
      <formula>$B$9&lt;$K$20</formula>
    </cfRule>
  </conditionalFormatting>
  <conditionalFormatting sqref="K21">
    <cfRule type="expression" dxfId="154" priority="6">
      <formula>$B$9&lt;$K$21</formula>
    </cfRule>
  </conditionalFormatting>
  <conditionalFormatting sqref="K21:K23">
    <cfRule type="containsText" dxfId="153" priority="1" operator="containsText" text="无方案">
      <formula>NOT(ISERROR(SEARCH("无方案",K21)))</formula>
    </cfRule>
  </conditionalFormatting>
  <conditionalFormatting sqref="K22">
    <cfRule type="expression" dxfId="152" priority="5">
      <formula>$B$9&lt;$K$22</formula>
    </cfRule>
  </conditionalFormatting>
  <conditionalFormatting sqref="K23">
    <cfRule type="expression" dxfId="151" priority="4">
      <formula>$B$9&lt;$K$23</formula>
    </cfRule>
  </conditionalFormatting>
  <conditionalFormatting sqref="L18">
    <cfRule type="containsText" dxfId="150" priority="83" operator="containsText" text="无方案">
      <formula>NOT(ISERROR(SEARCH("无方案",L18)))</formula>
    </cfRule>
  </conditionalFormatting>
  <dataValidations count="2">
    <dataValidation type="list" allowBlank="1" showInputMessage="1" showErrorMessage="1" sqref="O2" xr:uid="{00000000-0002-0000-0600-000000000000}">
      <formula1>"20%,15%"</formula1>
    </dataValidation>
    <dataValidation type="list" allowBlank="1" showInputMessage="1" showErrorMessage="1" sqref="B4" xr:uid="{00000000-0002-0000-0600-000001000000}">
      <formula1>INDIRECT($B$3)</formula1>
    </dataValidation>
  </dataValidations>
  <hyperlinks>
    <hyperlink ref="L2" location="试算路径!A1" display="返回" xr:uid="{00000000-0004-0000-0600-000000000000}"/>
    <hyperlink ref="L2:L3" location="试算路径及方案简述!A1" display="返回" xr:uid="{00000000-0004-0000-0600-000001000000}"/>
  </hyperlinks>
  <pageMargins left="0.7" right="0.7" top="0.75" bottom="0.75" header="0.3" footer="0.3"/>
  <pageSetup orientation="portrait" horizontalDpi="300" verticalDpi="0" copies="0" r:id="rId1"/>
  <drawing r:id="rId2"/>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0600-000002000000}">
          <x14:formula1>
            <xm:f>'参数-车系车型 利率'!$P$5:$P$5</xm:f>
          </x14:formula1>
          <xm:sqref>B3:C3</xm:sqref>
        </x14:dataValidation>
      </x14:dataValidations>
    </ext>
  </extLst>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tabColor theme="0" tint="-0.499984740745262"/>
  </sheetPr>
  <dimension ref="B2:L60"/>
  <sheetViews>
    <sheetView showGridLines="0" zoomScale="55" zoomScaleNormal="55" workbookViewId="0">
      <pane xSplit="3" ySplit="3" topLeftCell="D17" activePane="bottomRight" state="frozen"/>
      <selection activeCell="I33" sqref="I33"/>
      <selection pane="topRight" activeCell="I33" sqref="I33"/>
      <selection pane="bottomLeft" activeCell="I33" sqref="I33"/>
      <selection pane="bottomRight" activeCell="I34" sqref="I34"/>
    </sheetView>
  </sheetViews>
  <sheetFormatPr defaultColWidth="8.58203125" defaultRowHeight="14"/>
  <cols>
    <col min="1" max="1" width="2.75" style="386" customWidth="1"/>
    <col min="2" max="2" width="19" style="386" customWidth="1"/>
    <col min="3" max="3" width="39.33203125" style="386" customWidth="1"/>
    <col min="4" max="4" width="41.4140625" style="501" customWidth="1"/>
    <col min="5" max="5" width="48.75" style="386" bestFit="1" customWidth="1"/>
    <col min="6" max="7" width="27.75" style="386" customWidth="1"/>
    <col min="8" max="8" width="33.1640625" style="422" customWidth="1"/>
    <col min="9" max="9" width="27.75" style="422" customWidth="1"/>
    <col min="10" max="10" width="12.4140625" style="389" customWidth="1"/>
    <col min="11" max="11" width="8.58203125" style="389"/>
    <col min="12" max="12" width="21.33203125" style="386" customWidth="1"/>
    <col min="13" max="16384" width="8.58203125" style="386"/>
  </cols>
  <sheetData>
    <row r="2" spans="2:12" ht="20.5" customHeight="1">
      <c r="D2" s="549" t="s">
        <v>2</v>
      </c>
      <c r="E2" s="550"/>
      <c r="F2" s="866"/>
      <c r="G2" s="866"/>
      <c r="H2" s="866"/>
      <c r="I2" s="423"/>
      <c r="J2" s="21"/>
    </row>
    <row r="3" spans="2:12" ht="21.65" customHeight="1">
      <c r="B3" s="387" t="s">
        <v>14</v>
      </c>
      <c r="C3" s="388" t="s">
        <v>3</v>
      </c>
      <c r="D3" s="497" t="s">
        <v>21</v>
      </c>
      <c r="E3" s="520">
        <v>5050</v>
      </c>
      <c r="F3" s="520">
        <v>6666</v>
      </c>
      <c r="G3" s="590" t="s">
        <v>478</v>
      </c>
      <c r="H3" s="420" t="s">
        <v>526</v>
      </c>
      <c r="I3" s="420" t="s">
        <v>526</v>
      </c>
      <c r="J3" s="392" t="s">
        <v>374</v>
      </c>
      <c r="K3" s="502" t="s">
        <v>375</v>
      </c>
      <c r="L3" s="431" t="s">
        <v>340</v>
      </c>
    </row>
    <row r="4" spans="2:12" ht="28" customHeight="1">
      <c r="B4" s="769" t="s">
        <v>15</v>
      </c>
      <c r="C4" s="14" t="s">
        <v>16</v>
      </c>
      <c r="D4" s="79" t="s">
        <v>527</v>
      </c>
      <c r="E4" s="80" t="s">
        <v>18</v>
      </c>
      <c r="F4" s="80" t="s">
        <v>18</v>
      </c>
      <c r="G4" s="80" t="s">
        <v>18</v>
      </c>
      <c r="H4" s="624" t="s">
        <v>467</v>
      </c>
      <c r="I4" s="80" t="s">
        <v>18</v>
      </c>
      <c r="J4" s="451" t="s">
        <v>545</v>
      </c>
      <c r="K4" s="503" t="s">
        <v>546</v>
      </c>
      <c r="L4" s="501" t="s">
        <v>484</v>
      </c>
    </row>
    <row r="5" spans="2:12" ht="28" customHeight="1">
      <c r="B5" s="771"/>
      <c r="C5" s="14" t="s">
        <v>17</v>
      </c>
      <c r="D5" s="79" t="s">
        <v>527</v>
      </c>
      <c r="E5" s="80" t="s">
        <v>18</v>
      </c>
      <c r="F5" s="80" t="s">
        <v>18</v>
      </c>
      <c r="G5" s="80" t="s">
        <v>18</v>
      </c>
      <c r="H5" s="624" t="s">
        <v>467</v>
      </c>
      <c r="I5" s="80" t="s">
        <v>18</v>
      </c>
      <c r="J5" s="451" t="s">
        <v>545</v>
      </c>
      <c r="K5" s="503" t="s">
        <v>546</v>
      </c>
      <c r="L5" s="501" t="s">
        <v>484</v>
      </c>
    </row>
    <row r="6" spans="2:12" ht="28" customHeight="1">
      <c r="B6" s="779" t="s">
        <v>488</v>
      </c>
      <c r="C6" s="7" t="s">
        <v>485</v>
      </c>
      <c r="D6" s="79" t="s">
        <v>527</v>
      </c>
      <c r="E6" s="80" t="s">
        <v>18</v>
      </c>
      <c r="F6" s="80" t="s">
        <v>18</v>
      </c>
      <c r="G6" s="80" t="s">
        <v>18</v>
      </c>
      <c r="H6" s="624" t="s">
        <v>467</v>
      </c>
      <c r="I6" s="80" t="s">
        <v>18</v>
      </c>
      <c r="J6" s="451" t="s">
        <v>545</v>
      </c>
      <c r="K6" s="503" t="s">
        <v>546</v>
      </c>
      <c r="L6" s="501" t="s">
        <v>484</v>
      </c>
    </row>
    <row r="7" spans="2:12" ht="28" customHeight="1">
      <c r="B7" s="780"/>
      <c r="C7" s="7" t="s">
        <v>486</v>
      </c>
      <c r="D7" s="79" t="s">
        <v>527</v>
      </c>
      <c r="E7" s="80" t="s">
        <v>18</v>
      </c>
      <c r="F7" s="80" t="s">
        <v>18</v>
      </c>
      <c r="G7" s="80" t="s">
        <v>18</v>
      </c>
      <c r="H7" s="624" t="s">
        <v>467</v>
      </c>
      <c r="I7" s="80" t="s">
        <v>18</v>
      </c>
      <c r="J7" s="451" t="s">
        <v>545</v>
      </c>
      <c r="K7" s="503" t="s">
        <v>546</v>
      </c>
      <c r="L7" s="501" t="s">
        <v>484</v>
      </c>
    </row>
    <row r="8" spans="2:12" ht="28" customHeight="1">
      <c r="B8" s="780"/>
      <c r="C8" s="7" t="s">
        <v>487</v>
      </c>
      <c r="D8" s="79" t="s">
        <v>527</v>
      </c>
      <c r="E8" s="80" t="s">
        <v>18</v>
      </c>
      <c r="F8" s="80" t="s">
        <v>18</v>
      </c>
      <c r="G8" s="80" t="s">
        <v>18</v>
      </c>
      <c r="H8" s="624" t="s">
        <v>467</v>
      </c>
      <c r="I8" s="80" t="s">
        <v>18</v>
      </c>
      <c r="J8" s="451" t="s">
        <v>545</v>
      </c>
      <c r="K8" s="503" t="s">
        <v>546</v>
      </c>
      <c r="L8" s="501" t="s">
        <v>484</v>
      </c>
    </row>
    <row r="9" spans="2:12" ht="28" customHeight="1">
      <c r="B9" s="778" t="s">
        <v>392</v>
      </c>
      <c r="C9" s="14" t="s">
        <v>312</v>
      </c>
      <c r="D9" s="79" t="s">
        <v>528</v>
      </c>
      <c r="E9" s="80" t="s">
        <v>18</v>
      </c>
      <c r="F9" s="80" t="s">
        <v>18</v>
      </c>
      <c r="G9" s="80" t="s">
        <v>18</v>
      </c>
      <c r="H9" s="624" t="s">
        <v>529</v>
      </c>
      <c r="I9" s="80" t="s">
        <v>18</v>
      </c>
      <c r="J9" s="451" t="s">
        <v>545</v>
      </c>
      <c r="K9" s="503" t="s">
        <v>546</v>
      </c>
      <c r="L9" s="501" t="s">
        <v>454</v>
      </c>
    </row>
    <row r="10" spans="2:12" ht="28" customHeight="1">
      <c r="B10" s="778"/>
      <c r="C10" s="14" t="s">
        <v>313</v>
      </c>
      <c r="D10" s="79" t="s">
        <v>528</v>
      </c>
      <c r="E10" s="80" t="s">
        <v>18</v>
      </c>
      <c r="F10" s="80" t="s">
        <v>18</v>
      </c>
      <c r="G10" s="80" t="s">
        <v>18</v>
      </c>
      <c r="H10" s="624" t="s">
        <v>529</v>
      </c>
      <c r="I10" s="80" t="s">
        <v>18</v>
      </c>
      <c r="J10" s="451" t="s">
        <v>545</v>
      </c>
      <c r="K10" s="503" t="s">
        <v>546</v>
      </c>
      <c r="L10" s="386" t="s">
        <v>454</v>
      </c>
    </row>
    <row r="11" spans="2:12" ht="28" customHeight="1">
      <c r="B11" s="778"/>
      <c r="C11" s="14" t="s">
        <v>314</v>
      </c>
      <c r="D11" s="79" t="s">
        <v>528</v>
      </c>
      <c r="E11" s="80" t="s">
        <v>18</v>
      </c>
      <c r="F11" s="80" t="s">
        <v>18</v>
      </c>
      <c r="G11" s="80" t="s">
        <v>18</v>
      </c>
      <c r="H11" s="624" t="s">
        <v>529</v>
      </c>
      <c r="I11" s="80" t="s">
        <v>18</v>
      </c>
      <c r="J11" s="451" t="s">
        <v>545</v>
      </c>
      <c r="K11" s="503" t="s">
        <v>546</v>
      </c>
      <c r="L11" s="386" t="s">
        <v>454</v>
      </c>
    </row>
    <row r="12" spans="2:12" ht="28" customHeight="1">
      <c r="B12" s="778"/>
      <c r="C12" s="14" t="s">
        <v>315</v>
      </c>
      <c r="D12" s="79" t="s">
        <v>528</v>
      </c>
      <c r="E12" s="80" t="s">
        <v>18</v>
      </c>
      <c r="F12" s="80" t="s">
        <v>18</v>
      </c>
      <c r="G12" s="80" t="s">
        <v>18</v>
      </c>
      <c r="H12" s="624" t="s">
        <v>529</v>
      </c>
      <c r="I12" s="80" t="s">
        <v>18</v>
      </c>
      <c r="J12" s="451" t="s">
        <v>545</v>
      </c>
      <c r="K12" s="503" t="s">
        <v>546</v>
      </c>
      <c r="L12" s="386" t="s">
        <v>454</v>
      </c>
    </row>
    <row r="13" spans="2:12" ht="28" customHeight="1">
      <c r="B13" s="769" t="s">
        <v>462</v>
      </c>
      <c r="C13" s="7" t="s">
        <v>459</v>
      </c>
      <c r="D13" s="79" t="s">
        <v>527</v>
      </c>
      <c r="E13" s="80" t="s">
        <v>18</v>
      </c>
      <c r="F13" s="80" t="s">
        <v>18</v>
      </c>
      <c r="G13" s="80" t="s">
        <v>18</v>
      </c>
      <c r="H13" s="624" t="s">
        <v>467</v>
      </c>
      <c r="I13" s="80" t="s">
        <v>18</v>
      </c>
      <c r="J13" s="451" t="s">
        <v>545</v>
      </c>
      <c r="K13" s="503" t="s">
        <v>546</v>
      </c>
      <c r="L13" s="501" t="s">
        <v>484</v>
      </c>
    </row>
    <row r="14" spans="2:12" ht="28" customHeight="1">
      <c r="B14" s="770"/>
      <c r="C14" s="7" t="s">
        <v>460</v>
      </c>
      <c r="D14" s="79" t="s">
        <v>527</v>
      </c>
      <c r="E14" s="80" t="s">
        <v>18</v>
      </c>
      <c r="F14" s="80" t="s">
        <v>18</v>
      </c>
      <c r="G14" s="80" t="s">
        <v>18</v>
      </c>
      <c r="H14" s="624" t="s">
        <v>467</v>
      </c>
      <c r="I14" s="80" t="s">
        <v>18</v>
      </c>
      <c r="J14" s="451" t="s">
        <v>545</v>
      </c>
      <c r="K14" s="503" t="s">
        <v>546</v>
      </c>
      <c r="L14" s="501" t="s">
        <v>484</v>
      </c>
    </row>
    <row r="15" spans="2:12" ht="28" customHeight="1">
      <c r="B15" s="771"/>
      <c r="C15" s="7" t="s">
        <v>461</v>
      </c>
      <c r="D15" s="79" t="s">
        <v>527</v>
      </c>
      <c r="E15" s="80" t="s">
        <v>18</v>
      </c>
      <c r="F15" s="80" t="s">
        <v>18</v>
      </c>
      <c r="G15" s="80" t="s">
        <v>18</v>
      </c>
      <c r="H15" s="624" t="s">
        <v>467</v>
      </c>
      <c r="I15" s="80" t="s">
        <v>18</v>
      </c>
      <c r="J15" s="451" t="s">
        <v>545</v>
      </c>
      <c r="K15" s="503" t="s">
        <v>546</v>
      </c>
      <c r="L15" s="501" t="s">
        <v>484</v>
      </c>
    </row>
    <row r="16" spans="2:12" ht="28" customHeight="1">
      <c r="B16" s="769" t="s">
        <v>391</v>
      </c>
      <c r="C16" s="7" t="s">
        <v>330</v>
      </c>
      <c r="D16" s="79" t="s">
        <v>527</v>
      </c>
      <c r="E16" s="80" t="s">
        <v>18</v>
      </c>
      <c r="F16" s="80" t="s">
        <v>18</v>
      </c>
      <c r="G16" s="80" t="s">
        <v>18</v>
      </c>
      <c r="H16" s="624" t="s">
        <v>467</v>
      </c>
      <c r="I16" s="80" t="s">
        <v>18</v>
      </c>
      <c r="J16" s="451" t="s">
        <v>545</v>
      </c>
      <c r="K16" s="503" t="s">
        <v>546</v>
      </c>
      <c r="L16" s="501" t="s">
        <v>484</v>
      </c>
    </row>
    <row r="17" spans="2:12" ht="28" customHeight="1">
      <c r="B17" s="770"/>
      <c r="C17" s="7" t="s">
        <v>328</v>
      </c>
      <c r="D17" s="79" t="s">
        <v>527</v>
      </c>
      <c r="E17" s="80" t="s">
        <v>18</v>
      </c>
      <c r="F17" s="80" t="s">
        <v>18</v>
      </c>
      <c r="G17" s="80" t="s">
        <v>18</v>
      </c>
      <c r="H17" s="624" t="s">
        <v>467</v>
      </c>
      <c r="I17" s="80" t="s">
        <v>18</v>
      </c>
      <c r="J17" s="451" t="s">
        <v>545</v>
      </c>
      <c r="K17" s="503" t="s">
        <v>546</v>
      </c>
      <c r="L17" s="501" t="s">
        <v>484</v>
      </c>
    </row>
    <row r="18" spans="2:12" ht="28" customHeight="1">
      <c r="B18" s="870" t="s">
        <v>347</v>
      </c>
      <c r="C18" s="7" t="s">
        <v>350</v>
      </c>
      <c r="D18" s="79" t="s">
        <v>527</v>
      </c>
      <c r="E18" s="80" t="s">
        <v>18</v>
      </c>
      <c r="F18" s="80" t="s">
        <v>18</v>
      </c>
      <c r="G18" s="80" t="s">
        <v>18</v>
      </c>
      <c r="H18" s="624" t="s">
        <v>467</v>
      </c>
      <c r="I18" s="80" t="s">
        <v>18</v>
      </c>
      <c r="J18" s="451" t="s">
        <v>545</v>
      </c>
      <c r="K18" s="503" t="s">
        <v>546</v>
      </c>
      <c r="L18" s="452" t="s">
        <v>18</v>
      </c>
    </row>
    <row r="19" spans="2:12" ht="28" customHeight="1">
      <c r="B19" s="871"/>
      <c r="C19" s="418" t="s">
        <v>466</v>
      </c>
      <c r="D19" s="79" t="s">
        <v>527</v>
      </c>
      <c r="E19" s="80" t="s">
        <v>18</v>
      </c>
      <c r="F19" s="452" t="s">
        <v>18</v>
      </c>
      <c r="G19" s="80" t="s">
        <v>18</v>
      </c>
      <c r="H19" s="624" t="s">
        <v>467</v>
      </c>
      <c r="I19" s="80" t="s">
        <v>18</v>
      </c>
      <c r="J19" s="451" t="s">
        <v>545</v>
      </c>
      <c r="K19" s="503" t="s">
        <v>546</v>
      </c>
      <c r="L19" s="452"/>
    </row>
    <row r="20" spans="2:12" ht="28" customHeight="1">
      <c r="B20" s="871"/>
      <c r="C20" s="418" t="s">
        <v>606</v>
      </c>
      <c r="D20" s="79" t="s">
        <v>527</v>
      </c>
      <c r="E20" s="80" t="s">
        <v>18</v>
      </c>
      <c r="F20" s="452" t="s">
        <v>18</v>
      </c>
      <c r="G20" s="80" t="s">
        <v>18</v>
      </c>
      <c r="H20" s="624" t="s">
        <v>467</v>
      </c>
      <c r="I20" s="80" t="s">
        <v>18</v>
      </c>
      <c r="J20" s="451" t="s">
        <v>545</v>
      </c>
      <c r="K20" s="503" t="s">
        <v>546</v>
      </c>
      <c r="L20" s="452"/>
    </row>
    <row r="21" spans="2:12" ht="28" customHeight="1">
      <c r="B21" s="872"/>
      <c r="C21" s="418" t="s">
        <v>465</v>
      </c>
      <c r="D21" s="79" t="s">
        <v>527</v>
      </c>
      <c r="E21" s="80" t="s">
        <v>18</v>
      </c>
      <c r="F21" s="452" t="s">
        <v>18</v>
      </c>
      <c r="G21" s="80" t="s">
        <v>18</v>
      </c>
      <c r="H21" s="624" t="s">
        <v>467</v>
      </c>
      <c r="I21" s="80" t="s">
        <v>18</v>
      </c>
      <c r="J21" s="452" t="s">
        <v>18</v>
      </c>
      <c r="K21" s="452" t="s">
        <v>18</v>
      </c>
      <c r="L21" s="452"/>
    </row>
    <row r="22" spans="2:12" ht="28" customHeight="1">
      <c r="B22" s="769" t="s">
        <v>1</v>
      </c>
      <c r="C22" s="14" t="s">
        <v>13</v>
      </c>
      <c r="D22" s="79" t="s">
        <v>530</v>
      </c>
      <c r="E22" s="80" t="s">
        <v>18</v>
      </c>
      <c r="F22" s="80" t="s">
        <v>18</v>
      </c>
      <c r="G22" s="79" t="s">
        <v>534</v>
      </c>
      <c r="H22" s="624" t="s">
        <v>531</v>
      </c>
      <c r="I22" s="421" t="s">
        <v>535</v>
      </c>
      <c r="J22" s="451" t="s">
        <v>545</v>
      </c>
      <c r="K22" s="503" t="s">
        <v>546</v>
      </c>
      <c r="L22" s="452" t="s">
        <v>18</v>
      </c>
    </row>
    <row r="23" spans="2:12" ht="28" customHeight="1">
      <c r="B23" s="770"/>
      <c r="C23" s="14" t="s">
        <v>11</v>
      </c>
      <c r="D23" s="79" t="s">
        <v>549</v>
      </c>
      <c r="E23" s="80" t="s">
        <v>18</v>
      </c>
      <c r="F23" s="80" t="s">
        <v>18</v>
      </c>
      <c r="G23" s="79" t="s">
        <v>550</v>
      </c>
      <c r="H23" s="624" t="s">
        <v>531</v>
      </c>
      <c r="I23" s="421" t="s">
        <v>535</v>
      </c>
      <c r="J23" s="451" t="s">
        <v>545</v>
      </c>
      <c r="K23" s="503" t="s">
        <v>546</v>
      </c>
      <c r="L23" s="452" t="s">
        <v>18</v>
      </c>
    </row>
    <row r="24" spans="2:12" ht="28" customHeight="1">
      <c r="B24" s="771"/>
      <c r="C24" s="14" t="s">
        <v>12</v>
      </c>
      <c r="D24" s="79" t="s">
        <v>549</v>
      </c>
      <c r="E24" s="80" t="s">
        <v>18</v>
      </c>
      <c r="F24" s="80" t="s">
        <v>18</v>
      </c>
      <c r="G24" s="79" t="s">
        <v>550</v>
      </c>
      <c r="H24" s="624" t="s">
        <v>531</v>
      </c>
      <c r="I24" s="421" t="s">
        <v>535</v>
      </c>
      <c r="J24" s="451" t="s">
        <v>545</v>
      </c>
      <c r="K24" s="503" t="s">
        <v>546</v>
      </c>
      <c r="L24" s="452" t="s">
        <v>18</v>
      </c>
    </row>
    <row r="25" spans="2:12" ht="28" customHeight="1">
      <c r="B25" s="769" t="s">
        <v>494</v>
      </c>
      <c r="C25" s="7" t="s">
        <v>496</v>
      </c>
      <c r="D25" s="79" t="s">
        <v>527</v>
      </c>
      <c r="E25" s="80" t="s">
        <v>18</v>
      </c>
      <c r="F25" s="80" t="s">
        <v>18</v>
      </c>
      <c r="G25" s="80" t="s">
        <v>18</v>
      </c>
      <c r="H25" s="624" t="s">
        <v>467</v>
      </c>
      <c r="I25" s="80" t="s">
        <v>18</v>
      </c>
      <c r="J25" s="451" t="s">
        <v>545</v>
      </c>
      <c r="K25" s="503" t="s">
        <v>546</v>
      </c>
      <c r="L25" s="452" t="s">
        <v>18</v>
      </c>
    </row>
    <row r="26" spans="2:12" ht="28" customHeight="1">
      <c r="B26" s="770"/>
      <c r="C26" s="7" t="s">
        <v>497</v>
      </c>
      <c r="D26" s="79" t="s">
        <v>527</v>
      </c>
      <c r="E26" s="80" t="s">
        <v>18</v>
      </c>
      <c r="F26" s="80" t="s">
        <v>18</v>
      </c>
      <c r="G26" s="80" t="s">
        <v>18</v>
      </c>
      <c r="H26" s="624" t="s">
        <v>467</v>
      </c>
      <c r="I26" s="80" t="s">
        <v>18</v>
      </c>
      <c r="J26" s="451" t="s">
        <v>545</v>
      </c>
      <c r="K26" s="503" t="s">
        <v>546</v>
      </c>
      <c r="L26" s="452" t="s">
        <v>18</v>
      </c>
    </row>
    <row r="27" spans="2:12" ht="28" customHeight="1">
      <c r="B27" s="770"/>
      <c r="C27" s="7" t="s">
        <v>498</v>
      </c>
      <c r="D27" s="79" t="s">
        <v>527</v>
      </c>
      <c r="E27" s="80" t="s">
        <v>18</v>
      </c>
      <c r="F27" s="80" t="s">
        <v>18</v>
      </c>
      <c r="G27" s="80" t="s">
        <v>18</v>
      </c>
      <c r="H27" s="624" t="s">
        <v>467</v>
      </c>
      <c r="I27" s="80" t="s">
        <v>18</v>
      </c>
      <c r="J27" s="451" t="s">
        <v>545</v>
      </c>
      <c r="K27" s="503" t="s">
        <v>546</v>
      </c>
      <c r="L27" s="452" t="s">
        <v>18</v>
      </c>
    </row>
    <row r="28" spans="2:12" ht="28" customHeight="1">
      <c r="B28" s="770"/>
      <c r="C28" s="7" t="s">
        <v>499</v>
      </c>
      <c r="D28" s="79" t="s">
        <v>527</v>
      </c>
      <c r="E28" s="80" t="s">
        <v>18</v>
      </c>
      <c r="F28" s="80" t="s">
        <v>18</v>
      </c>
      <c r="G28" s="80" t="s">
        <v>18</v>
      </c>
      <c r="H28" s="624" t="s">
        <v>467</v>
      </c>
      <c r="I28" s="80" t="s">
        <v>18</v>
      </c>
      <c r="J28" s="451" t="s">
        <v>545</v>
      </c>
      <c r="K28" s="503" t="s">
        <v>546</v>
      </c>
      <c r="L28" s="452" t="s">
        <v>18</v>
      </c>
    </row>
    <row r="29" spans="2:12" ht="28" customHeight="1">
      <c r="B29" s="770"/>
      <c r="C29" s="7" t="s">
        <v>500</v>
      </c>
      <c r="D29" s="79" t="s">
        <v>527</v>
      </c>
      <c r="E29" s="80" t="s">
        <v>18</v>
      </c>
      <c r="F29" s="80" t="s">
        <v>18</v>
      </c>
      <c r="G29" s="80" t="s">
        <v>18</v>
      </c>
      <c r="H29" s="624" t="s">
        <v>467</v>
      </c>
      <c r="I29" s="80" t="s">
        <v>18</v>
      </c>
      <c r="J29" s="451" t="s">
        <v>545</v>
      </c>
      <c r="K29" s="503" t="s">
        <v>546</v>
      </c>
      <c r="L29" s="452" t="s">
        <v>18</v>
      </c>
    </row>
    <row r="30" spans="2:12" ht="28" customHeight="1">
      <c r="B30" s="771"/>
      <c r="C30" s="7" t="s">
        <v>548</v>
      </c>
      <c r="D30" s="79" t="s">
        <v>527</v>
      </c>
      <c r="E30" s="80" t="s">
        <v>18</v>
      </c>
      <c r="F30" s="80" t="s">
        <v>18</v>
      </c>
      <c r="G30" s="80" t="s">
        <v>18</v>
      </c>
      <c r="H30" s="624" t="s">
        <v>467</v>
      </c>
      <c r="I30" s="80" t="s">
        <v>18</v>
      </c>
      <c r="J30" s="451" t="s">
        <v>545</v>
      </c>
      <c r="K30" s="503" t="s">
        <v>546</v>
      </c>
      <c r="L30" s="452" t="s">
        <v>18</v>
      </c>
    </row>
    <row r="31" spans="2:12" ht="28" customHeight="1">
      <c r="B31" s="769" t="s">
        <v>568</v>
      </c>
      <c r="C31" s="7" t="s">
        <v>582</v>
      </c>
      <c r="D31" s="79" t="s">
        <v>532</v>
      </c>
      <c r="E31" s="80"/>
      <c r="F31" s="80"/>
      <c r="G31" s="80"/>
      <c r="H31" s="624" t="s">
        <v>588</v>
      </c>
      <c r="I31" s="624" t="s">
        <v>598</v>
      </c>
      <c r="J31" s="451" t="s">
        <v>545</v>
      </c>
      <c r="K31" s="503" t="s">
        <v>546</v>
      </c>
      <c r="L31" s="452" t="s">
        <v>18</v>
      </c>
    </row>
    <row r="32" spans="2:12" ht="28" customHeight="1">
      <c r="B32" s="770"/>
      <c r="C32" s="7" t="s">
        <v>583</v>
      </c>
      <c r="D32" s="79" t="s">
        <v>532</v>
      </c>
      <c r="E32" s="80"/>
      <c r="F32" s="80"/>
      <c r="G32" s="80"/>
      <c r="H32" s="624" t="s">
        <v>588</v>
      </c>
      <c r="I32" s="624" t="s">
        <v>599</v>
      </c>
      <c r="J32" s="451" t="s">
        <v>545</v>
      </c>
      <c r="K32" s="503" t="s">
        <v>546</v>
      </c>
      <c r="L32" s="452" t="s">
        <v>18</v>
      </c>
    </row>
    <row r="33" spans="2:12" ht="28" customHeight="1">
      <c r="B33" s="770"/>
      <c r="C33" s="648" t="s">
        <v>608</v>
      </c>
      <c r="D33" s="79" t="s">
        <v>532</v>
      </c>
      <c r="E33" s="80"/>
      <c r="F33" s="80"/>
      <c r="G33" s="80"/>
      <c r="H33" s="624" t="s">
        <v>588</v>
      </c>
      <c r="I33" s="624" t="s">
        <v>599</v>
      </c>
      <c r="J33" s="451" t="s">
        <v>545</v>
      </c>
      <c r="K33" s="503" t="s">
        <v>546</v>
      </c>
      <c r="L33" s="452" t="s">
        <v>18</v>
      </c>
    </row>
    <row r="34" spans="2:12" ht="28" customHeight="1">
      <c r="B34" s="771"/>
      <c r="C34" s="648" t="s">
        <v>614</v>
      </c>
      <c r="D34" s="79" t="s">
        <v>532</v>
      </c>
      <c r="E34" s="80"/>
      <c r="F34" s="80"/>
      <c r="G34" s="80"/>
      <c r="H34" s="624" t="s">
        <v>588</v>
      </c>
      <c r="I34" s="624" t="s">
        <v>599</v>
      </c>
      <c r="J34" s="451" t="s">
        <v>545</v>
      </c>
      <c r="K34" s="503" t="s">
        <v>546</v>
      </c>
      <c r="L34" s="452" t="s">
        <v>18</v>
      </c>
    </row>
    <row r="35" spans="2:12" ht="28" customHeight="1">
      <c r="B35" s="778" t="s">
        <v>418</v>
      </c>
      <c r="C35" s="7" t="s">
        <v>417</v>
      </c>
      <c r="D35" s="79" t="s">
        <v>527</v>
      </c>
      <c r="E35" s="79" t="s">
        <v>468</v>
      </c>
      <c r="F35" s="645" t="s">
        <v>504</v>
      </c>
      <c r="G35" s="80" t="s">
        <v>18</v>
      </c>
      <c r="H35" s="624" t="s">
        <v>467</v>
      </c>
      <c r="I35" s="80" t="s">
        <v>18</v>
      </c>
      <c r="J35" s="451" t="s">
        <v>545</v>
      </c>
      <c r="K35" s="503" t="s">
        <v>546</v>
      </c>
      <c r="L35" s="452" t="s">
        <v>18</v>
      </c>
    </row>
    <row r="36" spans="2:12" ht="28" customHeight="1">
      <c r="B36" s="778"/>
      <c r="C36" s="7" t="s">
        <v>408</v>
      </c>
      <c r="D36" s="79" t="s">
        <v>527</v>
      </c>
      <c r="E36" s="79" t="s">
        <v>468</v>
      </c>
      <c r="F36" s="645" t="s">
        <v>504</v>
      </c>
      <c r="G36" s="80" t="s">
        <v>18</v>
      </c>
      <c r="H36" s="624" t="s">
        <v>467</v>
      </c>
      <c r="I36" s="80" t="s">
        <v>18</v>
      </c>
      <c r="J36" s="451" t="s">
        <v>545</v>
      </c>
      <c r="K36" s="503" t="s">
        <v>546</v>
      </c>
      <c r="L36" s="452" t="s">
        <v>18</v>
      </c>
    </row>
    <row r="37" spans="2:12" ht="28" customHeight="1">
      <c r="B37" s="778"/>
      <c r="C37" s="7" t="s">
        <v>409</v>
      </c>
      <c r="D37" s="79" t="s">
        <v>527</v>
      </c>
      <c r="E37" s="79" t="s">
        <v>468</v>
      </c>
      <c r="F37" s="645" t="s">
        <v>504</v>
      </c>
      <c r="G37" s="80" t="s">
        <v>18</v>
      </c>
      <c r="H37" s="624" t="s">
        <v>467</v>
      </c>
      <c r="I37" s="80" t="s">
        <v>18</v>
      </c>
      <c r="J37" s="451" t="s">
        <v>545</v>
      </c>
      <c r="K37" s="503" t="s">
        <v>546</v>
      </c>
      <c r="L37" s="452" t="s">
        <v>18</v>
      </c>
    </row>
    <row r="38" spans="2:12" ht="28" customHeight="1">
      <c r="B38" s="778" t="s">
        <v>420</v>
      </c>
      <c r="C38" s="7" t="s">
        <v>419</v>
      </c>
      <c r="D38" s="79" t="s">
        <v>527</v>
      </c>
      <c r="E38" s="79" t="s">
        <v>468</v>
      </c>
      <c r="F38" s="645" t="s">
        <v>504</v>
      </c>
      <c r="G38" s="80" t="s">
        <v>18</v>
      </c>
      <c r="H38" s="624" t="s">
        <v>467</v>
      </c>
      <c r="I38" s="80" t="s">
        <v>18</v>
      </c>
      <c r="J38" s="451" t="s">
        <v>545</v>
      </c>
      <c r="K38" s="503" t="s">
        <v>546</v>
      </c>
      <c r="L38" s="452" t="s">
        <v>18</v>
      </c>
    </row>
    <row r="39" spans="2:12" ht="28" customHeight="1">
      <c r="B39" s="778"/>
      <c r="C39" s="7" t="s">
        <v>411</v>
      </c>
      <c r="D39" s="79" t="s">
        <v>527</v>
      </c>
      <c r="E39" s="79" t="s">
        <v>468</v>
      </c>
      <c r="F39" s="645" t="s">
        <v>504</v>
      </c>
      <c r="G39" s="80" t="s">
        <v>18</v>
      </c>
      <c r="H39" s="624" t="s">
        <v>467</v>
      </c>
      <c r="I39" s="80" t="s">
        <v>18</v>
      </c>
      <c r="J39" s="451" t="s">
        <v>545</v>
      </c>
      <c r="K39" s="503" t="s">
        <v>546</v>
      </c>
      <c r="L39" s="452" t="s">
        <v>18</v>
      </c>
    </row>
    <row r="40" spans="2:12" ht="28" customHeight="1">
      <c r="B40" s="778"/>
      <c r="C40" s="7" t="s">
        <v>412</v>
      </c>
      <c r="D40" s="79" t="s">
        <v>527</v>
      </c>
      <c r="E40" s="79" t="s">
        <v>468</v>
      </c>
      <c r="F40" s="645" t="s">
        <v>504</v>
      </c>
      <c r="G40" s="80" t="s">
        <v>18</v>
      </c>
      <c r="H40" s="624" t="s">
        <v>467</v>
      </c>
      <c r="I40" s="80" t="s">
        <v>18</v>
      </c>
      <c r="J40" s="451" t="s">
        <v>545</v>
      </c>
      <c r="K40" s="503" t="s">
        <v>546</v>
      </c>
      <c r="L40" s="452" t="s">
        <v>18</v>
      </c>
    </row>
    <row r="41" spans="2:12" ht="28" customHeight="1">
      <c r="B41" s="778"/>
      <c r="C41" s="7" t="s">
        <v>413</v>
      </c>
      <c r="D41" s="79" t="s">
        <v>527</v>
      </c>
      <c r="E41" s="79" t="s">
        <v>468</v>
      </c>
      <c r="F41" s="645" t="s">
        <v>504</v>
      </c>
      <c r="G41" s="80" t="s">
        <v>18</v>
      </c>
      <c r="H41" s="624" t="s">
        <v>467</v>
      </c>
      <c r="I41" s="80" t="s">
        <v>18</v>
      </c>
      <c r="J41" s="451" t="s">
        <v>545</v>
      </c>
      <c r="K41" s="503" t="s">
        <v>546</v>
      </c>
      <c r="L41" s="452" t="s">
        <v>18</v>
      </c>
    </row>
    <row r="42" spans="2:12" ht="28" customHeight="1">
      <c r="B42" s="778"/>
      <c r="C42" s="7" t="s">
        <v>414</v>
      </c>
      <c r="D42" s="79" t="s">
        <v>527</v>
      </c>
      <c r="E42" s="79" t="s">
        <v>468</v>
      </c>
      <c r="F42" s="645" t="s">
        <v>504</v>
      </c>
      <c r="G42" s="80" t="s">
        <v>18</v>
      </c>
      <c r="H42" s="624" t="s">
        <v>467</v>
      </c>
      <c r="I42" s="80" t="s">
        <v>18</v>
      </c>
      <c r="J42" s="451" t="s">
        <v>545</v>
      </c>
      <c r="K42" s="503" t="s">
        <v>546</v>
      </c>
      <c r="L42" s="452" t="s">
        <v>18</v>
      </c>
    </row>
    <row r="43" spans="2:12" ht="28" customHeight="1">
      <c r="B43" s="778" t="s">
        <v>422</v>
      </c>
      <c r="C43" s="7" t="s">
        <v>421</v>
      </c>
      <c r="D43" s="79" t="s">
        <v>527</v>
      </c>
      <c r="E43" s="79" t="s">
        <v>468</v>
      </c>
      <c r="F43" s="645" t="s">
        <v>504</v>
      </c>
      <c r="G43" s="80" t="s">
        <v>18</v>
      </c>
      <c r="H43" s="624" t="s">
        <v>467</v>
      </c>
      <c r="I43" s="80" t="s">
        <v>18</v>
      </c>
      <c r="J43" s="451" t="s">
        <v>545</v>
      </c>
      <c r="K43" s="503" t="s">
        <v>546</v>
      </c>
      <c r="L43" s="452" t="s">
        <v>18</v>
      </c>
    </row>
    <row r="44" spans="2:12" ht="28" customHeight="1">
      <c r="B44" s="778"/>
      <c r="C44" s="7" t="s">
        <v>415</v>
      </c>
      <c r="D44" s="79" t="s">
        <v>527</v>
      </c>
      <c r="E44" s="79" t="s">
        <v>468</v>
      </c>
      <c r="F44" s="645" t="s">
        <v>504</v>
      </c>
      <c r="G44" s="80" t="s">
        <v>18</v>
      </c>
      <c r="H44" s="624" t="s">
        <v>467</v>
      </c>
      <c r="I44" s="80" t="s">
        <v>18</v>
      </c>
      <c r="J44" s="451" t="s">
        <v>545</v>
      </c>
      <c r="K44" s="503" t="s">
        <v>546</v>
      </c>
      <c r="L44" s="452" t="s">
        <v>18</v>
      </c>
    </row>
    <row r="45" spans="2:12" ht="28" customHeight="1">
      <c r="B45" s="769" t="s">
        <v>260</v>
      </c>
      <c r="C45" s="7" t="s">
        <v>423</v>
      </c>
      <c r="D45" s="79" t="s">
        <v>527</v>
      </c>
      <c r="E45" s="79" t="s">
        <v>468</v>
      </c>
      <c r="F45" s="645" t="s">
        <v>503</v>
      </c>
      <c r="G45" s="80" t="s">
        <v>18</v>
      </c>
      <c r="H45" s="624" t="s">
        <v>467</v>
      </c>
      <c r="I45" s="80" t="s">
        <v>18</v>
      </c>
      <c r="J45" s="451" t="s">
        <v>545</v>
      </c>
      <c r="K45" s="503" t="s">
        <v>546</v>
      </c>
      <c r="L45" s="452" t="s">
        <v>18</v>
      </c>
    </row>
    <row r="46" spans="2:12" ht="28" customHeight="1">
      <c r="B46" s="770"/>
      <c r="C46" s="7" t="s">
        <v>416</v>
      </c>
      <c r="D46" s="79" t="s">
        <v>527</v>
      </c>
      <c r="E46" s="79" t="s">
        <v>468</v>
      </c>
      <c r="F46" s="645" t="s">
        <v>503</v>
      </c>
      <c r="G46" s="80" t="s">
        <v>18</v>
      </c>
      <c r="H46" s="624" t="s">
        <v>467</v>
      </c>
      <c r="I46" s="80" t="s">
        <v>18</v>
      </c>
      <c r="J46" s="451" t="s">
        <v>545</v>
      </c>
      <c r="K46" s="503" t="s">
        <v>546</v>
      </c>
      <c r="L46" s="452" t="s">
        <v>18</v>
      </c>
    </row>
    <row r="47" spans="2:12" ht="28" customHeight="1">
      <c r="B47" s="770"/>
      <c r="C47" s="7" t="s">
        <v>541</v>
      </c>
      <c r="D47" s="79" t="s">
        <v>527</v>
      </c>
      <c r="E47" s="79" t="s">
        <v>468</v>
      </c>
      <c r="F47" s="645" t="s">
        <v>503</v>
      </c>
      <c r="G47" s="80" t="s">
        <v>18</v>
      </c>
      <c r="H47" s="624" t="s">
        <v>467</v>
      </c>
      <c r="I47" s="80" t="s">
        <v>18</v>
      </c>
      <c r="J47" s="451" t="s">
        <v>545</v>
      </c>
      <c r="K47" s="503" t="s">
        <v>546</v>
      </c>
      <c r="L47" s="452" t="s">
        <v>18</v>
      </c>
    </row>
    <row r="48" spans="2:12" ht="28" customHeight="1">
      <c r="B48" s="771"/>
      <c r="C48" s="7" t="s">
        <v>540</v>
      </c>
      <c r="D48" s="79" t="s">
        <v>527</v>
      </c>
      <c r="E48" s="79" t="s">
        <v>468</v>
      </c>
      <c r="F48" s="645" t="s">
        <v>503</v>
      </c>
      <c r="G48" s="80" t="s">
        <v>18</v>
      </c>
      <c r="H48" s="624" t="s">
        <v>467</v>
      </c>
      <c r="I48" s="80" t="s">
        <v>18</v>
      </c>
      <c r="J48" s="451" t="s">
        <v>545</v>
      </c>
      <c r="K48" s="503" t="s">
        <v>546</v>
      </c>
      <c r="L48" s="452" t="s">
        <v>18</v>
      </c>
    </row>
    <row r="49" spans="2:12" ht="38.15" customHeight="1">
      <c r="B49" s="869" t="s">
        <v>271</v>
      </c>
      <c r="C49" s="360" t="s">
        <v>36</v>
      </c>
      <c r="D49" s="79" t="s">
        <v>532</v>
      </c>
      <c r="E49" s="608" t="s">
        <v>468</v>
      </c>
      <c r="F49" s="80" t="s">
        <v>18</v>
      </c>
      <c r="G49" s="80" t="s">
        <v>18</v>
      </c>
      <c r="H49" s="624" t="s">
        <v>533</v>
      </c>
      <c r="I49" s="80" t="s">
        <v>18</v>
      </c>
      <c r="J49" s="451" t="s">
        <v>545</v>
      </c>
      <c r="K49" s="503" t="s">
        <v>546</v>
      </c>
      <c r="L49" s="452" t="s">
        <v>18</v>
      </c>
    </row>
    <row r="50" spans="2:12" ht="38.15" customHeight="1">
      <c r="B50" s="869"/>
      <c r="C50" s="360" t="s">
        <v>37</v>
      </c>
      <c r="D50" s="79" t="s">
        <v>532</v>
      </c>
      <c r="E50" s="608" t="s">
        <v>468</v>
      </c>
      <c r="F50" s="80" t="s">
        <v>18</v>
      </c>
      <c r="G50" s="80" t="s">
        <v>18</v>
      </c>
      <c r="H50" s="624" t="s">
        <v>533</v>
      </c>
      <c r="I50" s="80" t="s">
        <v>18</v>
      </c>
      <c r="J50" s="451" t="s">
        <v>545</v>
      </c>
      <c r="K50" s="503" t="s">
        <v>546</v>
      </c>
      <c r="L50" s="452" t="s">
        <v>18</v>
      </c>
    </row>
    <row r="51" spans="2:12" ht="28" customHeight="1">
      <c r="B51" s="867" t="s">
        <v>33</v>
      </c>
      <c r="C51" s="361" t="s">
        <v>24</v>
      </c>
      <c r="D51" s="79" t="s">
        <v>527</v>
      </c>
      <c r="E51" s="79" t="s">
        <v>468</v>
      </c>
      <c r="F51" s="80" t="s">
        <v>18</v>
      </c>
      <c r="G51" s="80" t="s">
        <v>18</v>
      </c>
      <c r="H51" s="624" t="s">
        <v>467</v>
      </c>
      <c r="I51" s="80" t="s">
        <v>18</v>
      </c>
      <c r="J51" s="451" t="s">
        <v>545</v>
      </c>
      <c r="K51" s="503" t="s">
        <v>546</v>
      </c>
      <c r="L51" s="452" t="s">
        <v>18</v>
      </c>
    </row>
    <row r="52" spans="2:12" ht="28" customHeight="1">
      <c r="B52" s="868"/>
      <c r="C52" s="361" t="s">
        <v>25</v>
      </c>
      <c r="D52" s="79" t="s">
        <v>527</v>
      </c>
      <c r="E52" s="79" t="s">
        <v>468</v>
      </c>
      <c r="F52" s="80" t="s">
        <v>18</v>
      </c>
      <c r="G52" s="80" t="s">
        <v>18</v>
      </c>
      <c r="H52" s="624" t="s">
        <v>467</v>
      </c>
      <c r="I52" s="80" t="s">
        <v>18</v>
      </c>
      <c r="J52" s="451" t="s">
        <v>545</v>
      </c>
      <c r="K52" s="503" t="s">
        <v>546</v>
      </c>
      <c r="L52" s="452" t="s">
        <v>18</v>
      </c>
    </row>
    <row r="53" spans="2:12" ht="28" customHeight="1">
      <c r="B53" s="868"/>
      <c r="C53" s="361" t="s">
        <v>26</v>
      </c>
      <c r="D53" s="79" t="s">
        <v>527</v>
      </c>
      <c r="E53" s="79" t="s">
        <v>468</v>
      </c>
      <c r="F53" s="80" t="s">
        <v>18</v>
      </c>
      <c r="G53" s="80" t="s">
        <v>18</v>
      </c>
      <c r="H53" s="624" t="s">
        <v>467</v>
      </c>
      <c r="I53" s="80" t="s">
        <v>18</v>
      </c>
      <c r="J53" s="451" t="s">
        <v>545</v>
      </c>
      <c r="K53" s="503" t="s">
        <v>546</v>
      </c>
      <c r="L53" s="452" t="s">
        <v>18</v>
      </c>
    </row>
    <row r="54" spans="2:12" ht="28" customHeight="1">
      <c r="B54" s="868"/>
      <c r="C54" s="361" t="s">
        <v>27</v>
      </c>
      <c r="D54" s="79" t="s">
        <v>527</v>
      </c>
      <c r="E54" s="79" t="s">
        <v>468</v>
      </c>
      <c r="F54" s="80" t="s">
        <v>18</v>
      </c>
      <c r="G54" s="80" t="s">
        <v>18</v>
      </c>
      <c r="H54" s="624" t="s">
        <v>467</v>
      </c>
      <c r="I54" s="80" t="s">
        <v>18</v>
      </c>
      <c r="J54" s="451" t="s">
        <v>545</v>
      </c>
      <c r="K54" s="503" t="s">
        <v>546</v>
      </c>
      <c r="L54" s="452" t="s">
        <v>18</v>
      </c>
    </row>
    <row r="55" spans="2:12" ht="28" customHeight="1">
      <c r="B55" s="868"/>
      <c r="C55" s="361" t="s">
        <v>28</v>
      </c>
      <c r="D55" s="79" t="s">
        <v>527</v>
      </c>
      <c r="E55" s="79" t="s">
        <v>468</v>
      </c>
      <c r="F55" s="80" t="s">
        <v>18</v>
      </c>
      <c r="G55" s="80" t="s">
        <v>18</v>
      </c>
      <c r="H55" s="624" t="s">
        <v>467</v>
      </c>
      <c r="I55" s="80" t="s">
        <v>18</v>
      </c>
      <c r="J55" s="451" t="s">
        <v>545</v>
      </c>
      <c r="K55" s="503" t="s">
        <v>546</v>
      </c>
      <c r="L55" s="452" t="s">
        <v>18</v>
      </c>
    </row>
    <row r="56" spans="2:12" ht="28" customHeight="1">
      <c r="B56" s="868"/>
      <c r="C56" s="361" t="s">
        <v>300</v>
      </c>
      <c r="D56" s="79" t="s">
        <v>527</v>
      </c>
      <c r="E56" s="79" t="s">
        <v>468</v>
      </c>
      <c r="F56" s="80" t="s">
        <v>18</v>
      </c>
      <c r="G56" s="80" t="s">
        <v>18</v>
      </c>
      <c r="H56" s="624" t="s">
        <v>467</v>
      </c>
      <c r="I56" s="80" t="s">
        <v>18</v>
      </c>
      <c r="J56" s="451" t="s">
        <v>545</v>
      </c>
      <c r="K56" s="503" t="s">
        <v>546</v>
      </c>
      <c r="L56" s="452" t="s">
        <v>18</v>
      </c>
    </row>
    <row r="57" spans="2:12" ht="28" customHeight="1">
      <c r="B57" s="868"/>
      <c r="C57" s="361" t="s">
        <v>301</v>
      </c>
      <c r="D57" s="79" t="s">
        <v>527</v>
      </c>
      <c r="E57" s="79" t="s">
        <v>468</v>
      </c>
      <c r="F57" s="80" t="s">
        <v>18</v>
      </c>
      <c r="G57" s="80" t="s">
        <v>18</v>
      </c>
      <c r="H57" s="624" t="s">
        <v>467</v>
      </c>
      <c r="I57" s="80" t="s">
        <v>18</v>
      </c>
      <c r="J57" s="451" t="s">
        <v>545</v>
      </c>
      <c r="K57" s="503" t="s">
        <v>546</v>
      </c>
      <c r="L57" s="452" t="s">
        <v>18</v>
      </c>
    </row>
    <row r="58" spans="2:12" ht="28" customHeight="1">
      <c r="B58" s="868"/>
      <c r="C58" s="361" t="s">
        <v>29</v>
      </c>
      <c r="D58" s="79" t="s">
        <v>527</v>
      </c>
      <c r="E58" s="79" t="s">
        <v>468</v>
      </c>
      <c r="F58" s="80" t="s">
        <v>18</v>
      </c>
      <c r="G58" s="80" t="s">
        <v>18</v>
      </c>
      <c r="H58" s="624" t="s">
        <v>467</v>
      </c>
      <c r="I58" s="80" t="s">
        <v>18</v>
      </c>
      <c r="J58" s="451" t="s">
        <v>545</v>
      </c>
      <c r="K58" s="503" t="s">
        <v>546</v>
      </c>
      <c r="L58" s="452" t="s">
        <v>18</v>
      </c>
    </row>
    <row r="59" spans="2:12" ht="28" customHeight="1">
      <c r="B59" s="868"/>
      <c r="C59" s="361" t="s">
        <v>302</v>
      </c>
      <c r="D59" s="79" t="s">
        <v>527</v>
      </c>
      <c r="E59" s="79" t="s">
        <v>468</v>
      </c>
      <c r="F59" s="80" t="s">
        <v>18</v>
      </c>
      <c r="G59" s="80" t="s">
        <v>18</v>
      </c>
      <c r="H59" s="624" t="s">
        <v>467</v>
      </c>
      <c r="I59" s="80" t="s">
        <v>18</v>
      </c>
      <c r="J59" s="451" t="s">
        <v>545</v>
      </c>
      <c r="K59" s="503" t="s">
        <v>546</v>
      </c>
      <c r="L59" s="452" t="s">
        <v>18</v>
      </c>
    </row>
    <row r="60" spans="2:12" ht="28" customHeight="1">
      <c r="B60" s="868"/>
      <c r="C60" s="361" t="s">
        <v>303</v>
      </c>
      <c r="D60" s="79" t="s">
        <v>527</v>
      </c>
      <c r="E60" s="79" t="s">
        <v>468</v>
      </c>
      <c r="F60" s="80" t="s">
        <v>18</v>
      </c>
      <c r="G60" s="80" t="s">
        <v>18</v>
      </c>
      <c r="H60" s="624" t="s">
        <v>467</v>
      </c>
      <c r="I60" s="80" t="s">
        <v>18</v>
      </c>
      <c r="J60" s="451" t="s">
        <v>545</v>
      </c>
      <c r="K60" s="503" t="s">
        <v>546</v>
      </c>
      <c r="L60" s="452" t="s">
        <v>18</v>
      </c>
    </row>
  </sheetData>
  <mergeCells count="16">
    <mergeCell ref="B4:B5"/>
    <mergeCell ref="F2:H2"/>
    <mergeCell ref="B6:B8"/>
    <mergeCell ref="B51:B60"/>
    <mergeCell ref="B49:B50"/>
    <mergeCell ref="B22:B24"/>
    <mergeCell ref="B9:B12"/>
    <mergeCell ref="B16:B17"/>
    <mergeCell ref="B35:B37"/>
    <mergeCell ref="B38:B42"/>
    <mergeCell ref="B43:B44"/>
    <mergeCell ref="B13:B15"/>
    <mergeCell ref="B18:B21"/>
    <mergeCell ref="B45:B48"/>
    <mergeCell ref="B25:B30"/>
    <mergeCell ref="B31:B34"/>
  </mergeCells>
  <phoneticPr fontId="1" type="noConversion"/>
  <pageMargins left="0.7" right="0.7" top="0.75" bottom="0.75" header="0.3" footer="0.3"/>
  <pageSetup paperSize="9" orientation="portrait" horizontalDpi="300" verticalDpi="0" copies="0"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tabColor theme="0" tint="-0.499984740745262"/>
  </sheetPr>
  <dimension ref="A1:AI89"/>
  <sheetViews>
    <sheetView showGridLines="0" topLeftCell="W1" zoomScale="85" zoomScaleNormal="85" workbookViewId="0">
      <selection activeCell="AO25" sqref="AO25"/>
    </sheetView>
  </sheetViews>
  <sheetFormatPr defaultColWidth="5.08203125" defaultRowHeight="11.5"/>
  <cols>
    <col min="1" max="1" width="24.08203125" style="521" bestFit="1" customWidth="1"/>
    <col min="2" max="2" width="11.08203125" style="521" customWidth="1"/>
    <col min="3" max="3" width="15.25" style="521" bestFit="1" customWidth="1"/>
    <col min="4" max="4" width="5.75" style="521" customWidth="1"/>
    <col min="5" max="5" width="7.1640625" style="521" customWidth="1"/>
    <col min="6" max="8" width="5.08203125" style="521"/>
    <col min="9" max="9" width="13.6640625" style="521" bestFit="1" customWidth="1"/>
    <col min="10" max="10" width="5.08203125" style="521"/>
    <col min="11" max="11" width="6.75" style="521" customWidth="1"/>
    <col min="12" max="12" width="7.33203125" style="521" bestFit="1" customWidth="1"/>
    <col min="13" max="13" width="12.33203125" style="521" customWidth="1"/>
    <col min="14" max="14" width="8.9140625" style="521" bestFit="1" customWidth="1"/>
    <col min="15" max="15" width="7.08203125" style="521" bestFit="1" customWidth="1"/>
    <col min="16" max="16" width="10.25" style="521" customWidth="1"/>
    <col min="17" max="17" width="15.25" style="516" bestFit="1" customWidth="1"/>
    <col min="18" max="18" width="8.75" style="516" customWidth="1"/>
    <col min="19" max="19" width="7.4140625" style="521" customWidth="1"/>
    <col min="20" max="20" width="7.08203125" style="521" bestFit="1" customWidth="1"/>
    <col min="21" max="21" width="6.4140625" style="521" bestFit="1" customWidth="1"/>
    <col min="22" max="22" width="12.4140625" style="521" bestFit="1" customWidth="1"/>
    <col min="23" max="23" width="17.75" style="521" bestFit="1" customWidth="1"/>
    <col min="24" max="39" width="5.08203125" style="521"/>
    <col min="40" max="40" width="13.75" style="521" customWidth="1"/>
    <col min="41" max="41" width="42.75" style="521" customWidth="1"/>
    <col min="42" max="46" width="19.08203125" style="521" customWidth="1"/>
    <col min="47" max="16384" width="5.08203125" style="521"/>
  </cols>
  <sheetData>
    <row r="1" spans="1:35" ht="14.15" customHeight="1">
      <c r="D1" s="521" t="s">
        <v>469</v>
      </c>
      <c r="I1" s="522" t="s">
        <v>363</v>
      </c>
      <c r="M1" s="522" t="s">
        <v>492</v>
      </c>
      <c r="P1" s="522" t="s">
        <v>106</v>
      </c>
      <c r="Q1" s="516" t="s">
        <v>118</v>
      </c>
      <c r="R1" s="516" t="s">
        <v>119</v>
      </c>
      <c r="U1" s="521" t="s">
        <v>493</v>
      </c>
      <c r="V1" s="84" t="s">
        <v>390</v>
      </c>
      <c r="W1" s="85" t="s">
        <v>80</v>
      </c>
      <c r="X1" s="85" t="s">
        <v>490</v>
      </c>
      <c r="Y1" s="85" t="s">
        <v>107</v>
      </c>
      <c r="Z1" s="523" t="s">
        <v>271</v>
      </c>
      <c r="AA1" s="524" t="s">
        <v>33</v>
      </c>
      <c r="AB1" s="517" t="s">
        <v>347</v>
      </c>
      <c r="AC1" s="525" t="s">
        <v>418</v>
      </c>
      <c r="AD1" s="525" t="s">
        <v>420</v>
      </c>
      <c r="AE1" s="525" t="s">
        <v>422</v>
      </c>
      <c r="AF1" s="525" t="s">
        <v>424</v>
      </c>
      <c r="AG1" s="521" t="s">
        <v>462</v>
      </c>
      <c r="AH1" s="521" t="s">
        <v>488</v>
      </c>
      <c r="AI1" s="521" t="s">
        <v>568</v>
      </c>
    </row>
    <row r="2" spans="1:35" ht="14.15" customHeight="1">
      <c r="A2" s="521" t="s">
        <v>2</v>
      </c>
      <c r="D2" s="525" t="s">
        <v>418</v>
      </c>
      <c r="E2" s="345">
        <v>0.2</v>
      </c>
      <c r="I2" s="85" t="s">
        <v>463</v>
      </c>
      <c r="M2" s="521" t="s">
        <v>488</v>
      </c>
      <c r="N2" s="345">
        <v>0.2</v>
      </c>
      <c r="O2" s="526"/>
      <c r="P2" s="85" t="s">
        <v>463</v>
      </c>
      <c r="Q2" s="345">
        <v>0.15</v>
      </c>
      <c r="R2" s="345">
        <v>0.2</v>
      </c>
      <c r="U2" s="83" t="s">
        <v>496</v>
      </c>
      <c r="V2" s="83" t="s">
        <v>328</v>
      </c>
      <c r="W2" s="83" t="s">
        <v>88</v>
      </c>
      <c r="X2" s="527" t="s">
        <v>81</v>
      </c>
      <c r="Y2" s="527" t="s">
        <v>92</v>
      </c>
      <c r="Z2" s="527" t="s">
        <v>90</v>
      </c>
      <c r="AA2" s="527" t="s">
        <v>97</v>
      </c>
      <c r="AB2" s="83" t="s">
        <v>345</v>
      </c>
      <c r="AC2" s="521" t="s">
        <v>417</v>
      </c>
      <c r="AD2" s="521" t="s">
        <v>410</v>
      </c>
      <c r="AE2" s="521" t="s">
        <v>421</v>
      </c>
      <c r="AF2" s="521" t="s">
        <v>423</v>
      </c>
      <c r="AG2" s="83" t="s">
        <v>459</v>
      </c>
      <c r="AH2" s="527" t="s">
        <v>485</v>
      </c>
      <c r="AI2" s="7" t="s">
        <v>582</v>
      </c>
    </row>
    <row r="3" spans="1:35" ht="14.15" customHeight="1">
      <c r="A3" s="528">
        <v>7.2300000000000003E-2</v>
      </c>
      <c r="D3" s="525" t="s">
        <v>420</v>
      </c>
      <c r="E3" s="345">
        <v>0.2</v>
      </c>
      <c r="I3" s="521" t="s">
        <v>488</v>
      </c>
      <c r="M3" s="85" t="s">
        <v>463</v>
      </c>
      <c r="N3" s="345">
        <v>0.15</v>
      </c>
      <c r="O3" s="526"/>
      <c r="P3" s="517" t="s">
        <v>347</v>
      </c>
      <c r="Q3" s="345">
        <v>0.2</v>
      </c>
      <c r="R3" s="345">
        <v>0.2</v>
      </c>
      <c r="U3" s="83" t="s">
        <v>497</v>
      </c>
      <c r="V3" s="83" t="s">
        <v>330</v>
      </c>
      <c r="W3" s="83" t="s">
        <v>89</v>
      </c>
      <c r="X3" s="527" t="s">
        <v>82</v>
      </c>
      <c r="Y3" s="527" t="s">
        <v>93</v>
      </c>
      <c r="Z3" s="527" t="s">
        <v>96</v>
      </c>
      <c r="AA3" s="527" t="s">
        <v>91</v>
      </c>
      <c r="AB3" s="83" t="s">
        <v>466</v>
      </c>
      <c r="AC3" s="521" t="s">
        <v>408</v>
      </c>
      <c r="AD3" s="521" t="s">
        <v>413</v>
      </c>
      <c r="AE3" s="521" t="s">
        <v>415</v>
      </c>
      <c r="AF3" s="521" t="s">
        <v>416</v>
      </c>
      <c r="AG3" s="83" t="s">
        <v>460</v>
      </c>
      <c r="AH3" s="527" t="s">
        <v>486</v>
      </c>
      <c r="AI3" s="7" t="s">
        <v>583</v>
      </c>
    </row>
    <row r="4" spans="1:35" ht="14.5">
      <c r="D4" s="525" t="s">
        <v>422</v>
      </c>
      <c r="E4" s="345">
        <v>0.2</v>
      </c>
      <c r="I4" s="521" t="s">
        <v>491</v>
      </c>
      <c r="M4" s="597" t="s">
        <v>348</v>
      </c>
      <c r="N4" s="345">
        <v>0.2</v>
      </c>
      <c r="O4" s="526"/>
      <c r="P4" s="84" t="s">
        <v>80</v>
      </c>
      <c r="Q4" s="345">
        <v>0.15</v>
      </c>
      <c r="U4" s="83" t="s">
        <v>498</v>
      </c>
      <c r="W4" s="83" t="s">
        <v>78</v>
      </c>
      <c r="Y4" s="527" t="s">
        <v>94</v>
      </c>
      <c r="AA4" s="527" t="s">
        <v>98</v>
      </c>
      <c r="AB4" s="83" t="s">
        <v>606</v>
      </c>
      <c r="AC4" s="521" t="s">
        <v>409</v>
      </c>
      <c r="AF4" s="83" t="s">
        <v>541</v>
      </c>
      <c r="AG4" s="83" t="s">
        <v>461</v>
      </c>
      <c r="AH4" s="527" t="s">
        <v>487</v>
      </c>
      <c r="AI4" s="521" t="s">
        <v>609</v>
      </c>
    </row>
    <row r="5" spans="1:35" ht="14.5">
      <c r="D5" s="525" t="s">
        <v>424</v>
      </c>
      <c r="E5" s="345">
        <v>0.2</v>
      </c>
      <c r="I5" s="85" t="s">
        <v>107</v>
      </c>
      <c r="M5" s="84" t="s">
        <v>80</v>
      </c>
      <c r="N5" s="345">
        <v>0.2</v>
      </c>
      <c r="O5" s="526"/>
      <c r="P5" s="524" t="s">
        <v>33</v>
      </c>
      <c r="Q5" s="345">
        <v>0.2</v>
      </c>
      <c r="U5" s="83" t="s">
        <v>499</v>
      </c>
      <c r="Y5" s="527" t="s">
        <v>95</v>
      </c>
      <c r="AA5" s="527" t="s">
        <v>99</v>
      </c>
      <c r="AB5" s="83" t="s">
        <v>465</v>
      </c>
      <c r="AF5" s="83" t="s">
        <v>540</v>
      </c>
      <c r="AI5" s="521" t="s">
        <v>614</v>
      </c>
    </row>
    <row r="6" spans="1:35" ht="14.5">
      <c r="D6" s="524" t="s">
        <v>33</v>
      </c>
      <c r="E6" s="345">
        <v>0.2</v>
      </c>
      <c r="M6" s="521" t="s">
        <v>494</v>
      </c>
      <c r="N6" s="345">
        <v>0.15</v>
      </c>
      <c r="P6" s="523" t="s">
        <v>271</v>
      </c>
      <c r="Q6" s="345">
        <v>0.2</v>
      </c>
      <c r="R6" s="345">
        <v>0.2</v>
      </c>
      <c r="U6" s="83" t="s">
        <v>500</v>
      </c>
      <c r="AA6" s="527" t="s">
        <v>100</v>
      </c>
    </row>
    <row r="7" spans="1:35" ht="19">
      <c r="D7" s="523" t="s">
        <v>271</v>
      </c>
      <c r="M7" s="525" t="s">
        <v>576</v>
      </c>
      <c r="N7" s="345">
        <v>0.2</v>
      </c>
      <c r="P7" s="85" t="s">
        <v>107</v>
      </c>
      <c r="Q7" s="345">
        <v>0.2</v>
      </c>
      <c r="R7" s="345">
        <v>0.2</v>
      </c>
      <c r="U7" s="648" t="s">
        <v>544</v>
      </c>
      <c r="AA7" s="527" t="s">
        <v>112</v>
      </c>
    </row>
    <row r="8" spans="1:35">
      <c r="M8" s="525" t="s">
        <v>575</v>
      </c>
      <c r="N8" s="345">
        <v>0.2</v>
      </c>
      <c r="P8" s="521" t="s">
        <v>491</v>
      </c>
      <c r="Q8" s="345">
        <v>0.15</v>
      </c>
      <c r="R8" s="345">
        <v>0.2</v>
      </c>
      <c r="AA8" s="527" t="s">
        <v>113</v>
      </c>
    </row>
    <row r="9" spans="1:35">
      <c r="M9" s="525" t="s">
        <v>574</v>
      </c>
      <c r="N9" s="345">
        <v>0.2</v>
      </c>
      <c r="AA9" s="527" t="s">
        <v>101</v>
      </c>
    </row>
    <row r="10" spans="1:35" ht="12">
      <c r="M10" s="524" t="s">
        <v>424</v>
      </c>
      <c r="N10" s="345">
        <v>0.2</v>
      </c>
      <c r="AA10" s="527" t="s">
        <v>114</v>
      </c>
    </row>
    <row r="11" spans="1:35" ht="14.15" customHeight="1">
      <c r="I11" s="84"/>
      <c r="M11" s="523" t="s">
        <v>264</v>
      </c>
      <c r="N11" s="345">
        <v>0.2</v>
      </c>
      <c r="O11" s="516"/>
      <c r="AA11" s="527" t="s">
        <v>115</v>
      </c>
    </row>
    <row r="12" spans="1:35" ht="11.5" customHeight="1">
      <c r="M12" s="521" t="s">
        <v>336</v>
      </c>
      <c r="N12" s="345">
        <v>0.15</v>
      </c>
      <c r="O12" s="516"/>
    </row>
    <row r="13" spans="1:35" ht="11.5" customHeight="1">
      <c r="M13" s="521" t="s">
        <v>568</v>
      </c>
      <c r="N13" s="345">
        <v>0.15</v>
      </c>
      <c r="O13" s="516"/>
    </row>
    <row r="14" spans="1:35" ht="11.5" customHeight="1">
      <c r="M14" s="521" t="s">
        <v>491</v>
      </c>
      <c r="N14" s="345">
        <v>0.2</v>
      </c>
    </row>
    <row r="15" spans="1:35" ht="11.5" customHeight="1">
      <c r="M15" s="85" t="s">
        <v>107</v>
      </c>
      <c r="N15" s="345">
        <v>0.15</v>
      </c>
    </row>
    <row r="16" spans="1:35" ht="11.5" customHeight="1"/>
    <row r="17" spans="1:33" ht="11.5" customHeight="1">
      <c r="A17" s="522" t="s">
        <v>105</v>
      </c>
      <c r="B17" s="522"/>
      <c r="C17" s="883" t="s">
        <v>2</v>
      </c>
      <c r="D17" s="883"/>
      <c r="E17" s="883"/>
      <c r="F17" s="883"/>
      <c r="G17" s="883"/>
      <c r="H17" s="883"/>
      <c r="I17" s="883"/>
      <c r="J17" s="882"/>
      <c r="K17" s="882"/>
      <c r="L17" s="882"/>
      <c r="M17" s="882"/>
      <c r="N17" s="521" t="s">
        <v>374</v>
      </c>
      <c r="O17" s="521" t="s">
        <v>375</v>
      </c>
      <c r="P17" s="880" t="s">
        <v>340</v>
      </c>
      <c r="Q17" s="881"/>
      <c r="R17" s="881"/>
      <c r="S17" s="881"/>
      <c r="T17" s="529"/>
    </row>
    <row r="18" spans="1:33" ht="11.5" customHeight="1">
      <c r="A18" s="521" t="s">
        <v>103</v>
      </c>
      <c r="B18" s="83" t="s">
        <v>104</v>
      </c>
      <c r="C18" s="83" t="s">
        <v>38</v>
      </c>
      <c r="D18" s="83" t="s">
        <v>39</v>
      </c>
      <c r="E18" s="83" t="s">
        <v>40</v>
      </c>
      <c r="F18" s="83" t="s">
        <v>41</v>
      </c>
      <c r="G18" s="83" t="s">
        <v>42</v>
      </c>
      <c r="H18" s="83" t="s">
        <v>43</v>
      </c>
      <c r="I18" s="527">
        <v>5050</v>
      </c>
      <c r="J18" s="589">
        <v>6666</v>
      </c>
      <c r="K18" s="589"/>
      <c r="L18" s="589"/>
      <c r="M18" s="527"/>
      <c r="N18" s="527" t="s">
        <v>38</v>
      </c>
      <c r="O18" s="527" t="s">
        <v>38</v>
      </c>
      <c r="P18" s="530" t="s">
        <v>38</v>
      </c>
      <c r="Q18" s="530" t="s">
        <v>341</v>
      </c>
      <c r="R18" s="530" t="s">
        <v>342</v>
      </c>
      <c r="S18" s="530" t="s">
        <v>343</v>
      </c>
      <c r="T18" s="529" t="s">
        <v>362</v>
      </c>
    </row>
    <row r="19" spans="1:33" ht="11.5" customHeight="1">
      <c r="A19" s="875" t="s">
        <v>15</v>
      </c>
      <c r="B19" s="527" t="s">
        <v>16</v>
      </c>
      <c r="C19" s="531">
        <v>5.9900000000000002E-2</v>
      </c>
      <c r="D19" s="531">
        <v>5.9900000000000002E-2</v>
      </c>
      <c r="E19" s="531">
        <v>5.9900000000000002E-2</v>
      </c>
      <c r="F19" s="531">
        <v>5.9900000000000002E-2</v>
      </c>
      <c r="G19" s="531">
        <v>5.9900000000000002E-2</v>
      </c>
      <c r="H19" s="532" t="s">
        <v>18</v>
      </c>
      <c r="I19" s="532" t="s">
        <v>18</v>
      </c>
      <c r="J19" s="532"/>
      <c r="K19" s="532"/>
      <c r="L19" s="532"/>
      <c r="M19" s="532"/>
      <c r="N19" s="531">
        <v>0.11600000000000001</v>
      </c>
      <c r="O19" s="531">
        <v>9.7000000000000003E-2</v>
      </c>
      <c r="P19" s="533">
        <v>7.9799999999999996E-2</v>
      </c>
      <c r="Q19" s="580">
        <v>80000</v>
      </c>
      <c r="R19" s="644">
        <v>6254.8</v>
      </c>
      <c r="S19" s="432">
        <v>4.48E-2</v>
      </c>
      <c r="T19" s="433">
        <v>5.2299999999999999E-2</v>
      </c>
    </row>
    <row r="20" spans="1:33" ht="11.5" customHeight="1">
      <c r="A20" s="877"/>
      <c r="B20" s="527" t="s">
        <v>17</v>
      </c>
      <c r="C20" s="531">
        <v>5.9900000000000002E-2</v>
      </c>
      <c r="D20" s="531">
        <v>5.9900000000000002E-2</v>
      </c>
      <c r="E20" s="531">
        <v>5.9900000000000002E-2</v>
      </c>
      <c r="F20" s="531">
        <v>5.9900000000000002E-2</v>
      </c>
      <c r="G20" s="531">
        <v>5.9900000000000002E-2</v>
      </c>
      <c r="H20" s="532" t="s">
        <v>18</v>
      </c>
      <c r="I20" s="532" t="s">
        <v>18</v>
      </c>
      <c r="J20" s="532"/>
      <c r="K20" s="532"/>
      <c r="L20" s="532"/>
      <c r="M20" s="532"/>
      <c r="N20" s="531">
        <v>0.11600000000000001</v>
      </c>
      <c r="O20" s="531">
        <v>9.7000000000000003E-2</v>
      </c>
      <c r="P20" s="533">
        <v>7.9799999999999996E-2</v>
      </c>
      <c r="Q20" s="580">
        <v>80000</v>
      </c>
      <c r="R20" s="644">
        <v>6254.8</v>
      </c>
      <c r="S20" s="432">
        <v>4.48E-2</v>
      </c>
      <c r="T20" s="433">
        <v>5.2299999999999999E-2</v>
      </c>
    </row>
    <row r="21" spans="1:33" ht="11.5" customHeight="1">
      <c r="A21" s="779" t="s">
        <v>488</v>
      </c>
      <c r="B21" s="527" t="s">
        <v>485</v>
      </c>
      <c r="C21" s="531">
        <v>5.9900000000000002E-2</v>
      </c>
      <c r="D21" s="531">
        <v>5.9900000000000002E-2</v>
      </c>
      <c r="E21" s="531">
        <v>5.9900000000000002E-2</v>
      </c>
      <c r="F21" s="531">
        <v>5.9900000000000002E-2</v>
      </c>
      <c r="G21" s="531">
        <v>5.9900000000000002E-2</v>
      </c>
      <c r="H21" s="532" t="s">
        <v>18</v>
      </c>
      <c r="I21" s="532" t="s">
        <v>18</v>
      </c>
      <c r="J21" s="532"/>
      <c r="K21" s="532"/>
      <c r="L21" s="532"/>
      <c r="M21" s="532"/>
      <c r="N21" s="531">
        <v>0.11600000000000001</v>
      </c>
      <c r="O21" s="531">
        <v>9.7000000000000003E-2</v>
      </c>
      <c r="P21" s="533">
        <v>7.9799999999999996E-2</v>
      </c>
      <c r="Q21" s="580">
        <v>80000</v>
      </c>
      <c r="R21" s="644">
        <v>6254.8</v>
      </c>
      <c r="S21" s="432">
        <v>4.48E-2</v>
      </c>
      <c r="T21" s="433">
        <v>5.2299999999999999E-2</v>
      </c>
    </row>
    <row r="22" spans="1:33" ht="11.5" customHeight="1">
      <c r="A22" s="780"/>
      <c r="B22" s="527" t="s">
        <v>486</v>
      </c>
      <c r="C22" s="531">
        <v>5.9900000000000002E-2</v>
      </c>
      <c r="D22" s="531">
        <v>5.9900000000000002E-2</v>
      </c>
      <c r="E22" s="531">
        <v>5.9900000000000002E-2</v>
      </c>
      <c r="F22" s="531">
        <v>5.9900000000000002E-2</v>
      </c>
      <c r="G22" s="531">
        <v>5.9900000000000002E-2</v>
      </c>
      <c r="H22" s="532" t="s">
        <v>18</v>
      </c>
      <c r="I22" s="532" t="s">
        <v>18</v>
      </c>
      <c r="J22" s="532"/>
      <c r="K22" s="532"/>
      <c r="L22" s="532"/>
      <c r="M22" s="532"/>
      <c r="N22" s="531">
        <v>0.11600000000000001</v>
      </c>
      <c r="O22" s="531">
        <v>9.7000000000000003E-2</v>
      </c>
      <c r="P22" s="533">
        <v>7.9799999999999996E-2</v>
      </c>
      <c r="Q22" s="580">
        <v>80000</v>
      </c>
      <c r="R22" s="644">
        <v>6254.8</v>
      </c>
      <c r="S22" s="432">
        <v>4.48E-2</v>
      </c>
      <c r="T22" s="433">
        <v>5.2299999999999999E-2</v>
      </c>
    </row>
    <row r="23" spans="1:33" ht="11.5" customHeight="1">
      <c r="A23" s="780"/>
      <c r="B23" s="527" t="s">
        <v>487</v>
      </c>
      <c r="C23" s="531">
        <v>5.9900000000000002E-2</v>
      </c>
      <c r="D23" s="531">
        <v>5.9900000000000002E-2</v>
      </c>
      <c r="E23" s="531">
        <v>5.9900000000000002E-2</v>
      </c>
      <c r="F23" s="531">
        <v>5.9900000000000002E-2</v>
      </c>
      <c r="G23" s="531">
        <v>5.9900000000000002E-2</v>
      </c>
      <c r="H23" s="532" t="s">
        <v>18</v>
      </c>
      <c r="I23" s="532" t="s">
        <v>18</v>
      </c>
      <c r="J23" s="532"/>
      <c r="K23" s="532"/>
      <c r="L23" s="532"/>
      <c r="M23" s="532"/>
      <c r="N23" s="531">
        <v>0.11600000000000001</v>
      </c>
      <c r="O23" s="531">
        <v>9.7000000000000003E-2</v>
      </c>
      <c r="P23" s="533">
        <v>7.9799999999999996E-2</v>
      </c>
      <c r="Q23" s="580">
        <v>80000</v>
      </c>
      <c r="R23" s="644">
        <v>6254.8</v>
      </c>
      <c r="S23" s="432">
        <v>4.48E-2</v>
      </c>
      <c r="T23" s="433">
        <v>5.2299999999999999E-2</v>
      </c>
    </row>
    <row r="24" spans="1:33" ht="11.5" customHeight="1">
      <c r="A24" s="878" t="s">
        <v>269</v>
      </c>
      <c r="B24" s="83" t="s">
        <v>92</v>
      </c>
      <c r="C24" s="531">
        <v>5.9900000000000002E-2</v>
      </c>
      <c r="D24" s="531">
        <v>5.9900000000000002E-2</v>
      </c>
      <c r="E24" s="531">
        <v>5.9900000000000002E-2</v>
      </c>
      <c r="F24" s="531">
        <v>5.9900000000000002E-2</v>
      </c>
      <c r="G24" s="532" t="s">
        <v>18</v>
      </c>
      <c r="H24" s="532" t="s">
        <v>18</v>
      </c>
      <c r="I24" s="532" t="s">
        <v>18</v>
      </c>
      <c r="J24" s="532"/>
      <c r="K24" s="532"/>
      <c r="L24" s="532"/>
      <c r="M24" s="532"/>
      <c r="N24" s="531">
        <v>0.11600000000000001</v>
      </c>
      <c r="O24" s="531">
        <v>9.7000000000000003E-2</v>
      </c>
      <c r="P24" s="533">
        <v>7.9799999999999996E-2</v>
      </c>
      <c r="Q24" s="534">
        <v>100000</v>
      </c>
      <c r="R24" s="644">
        <v>7850.2206643560003</v>
      </c>
      <c r="S24" s="432">
        <v>3.5999999999999997E-2</v>
      </c>
      <c r="T24" s="433">
        <v>5.2400000000000002E-2</v>
      </c>
    </row>
    <row r="25" spans="1:33" ht="11.5" customHeight="1">
      <c r="A25" s="878"/>
      <c r="B25" s="83" t="s">
        <v>93</v>
      </c>
      <c r="C25" s="531">
        <v>5.9900000000000002E-2</v>
      </c>
      <c r="D25" s="531">
        <v>5.9900000000000002E-2</v>
      </c>
      <c r="E25" s="531">
        <v>5.9900000000000002E-2</v>
      </c>
      <c r="F25" s="531">
        <v>5.9900000000000002E-2</v>
      </c>
      <c r="G25" s="532" t="s">
        <v>18</v>
      </c>
      <c r="H25" s="532" t="s">
        <v>18</v>
      </c>
      <c r="I25" s="532" t="s">
        <v>18</v>
      </c>
      <c r="J25" s="532"/>
      <c r="K25" s="532"/>
      <c r="L25" s="532"/>
      <c r="M25" s="532"/>
      <c r="N25" s="531">
        <v>0.11600000000000001</v>
      </c>
      <c r="O25" s="531">
        <v>9.7000000000000003E-2</v>
      </c>
      <c r="P25" s="533">
        <v>7.9799999999999996E-2</v>
      </c>
      <c r="Q25" s="534">
        <v>100000</v>
      </c>
      <c r="R25" s="644">
        <v>7850.2206643560003</v>
      </c>
      <c r="S25" s="432">
        <v>3.5999999999999997E-2</v>
      </c>
      <c r="T25" s="433">
        <v>5.2400000000000002E-2</v>
      </c>
    </row>
    <row r="26" spans="1:33" ht="11.5" customHeight="1">
      <c r="A26" s="878"/>
      <c r="B26" s="83" t="s">
        <v>94</v>
      </c>
      <c r="C26" s="531">
        <v>5.9900000000000002E-2</v>
      </c>
      <c r="D26" s="531">
        <v>5.9900000000000002E-2</v>
      </c>
      <c r="E26" s="531">
        <v>5.9900000000000002E-2</v>
      </c>
      <c r="F26" s="531">
        <v>5.9900000000000002E-2</v>
      </c>
      <c r="G26" s="532" t="s">
        <v>18</v>
      </c>
      <c r="H26" s="532" t="s">
        <v>18</v>
      </c>
      <c r="I26" s="532" t="s">
        <v>18</v>
      </c>
      <c r="J26" s="532"/>
      <c r="K26" s="532"/>
      <c r="L26" s="532"/>
      <c r="M26" s="532"/>
      <c r="N26" s="531">
        <v>0.11600000000000001</v>
      </c>
      <c r="O26" s="531">
        <v>9.7000000000000003E-2</v>
      </c>
      <c r="P26" s="533">
        <v>7.9799999999999996E-2</v>
      </c>
      <c r="Q26" s="534">
        <v>100000</v>
      </c>
      <c r="R26" s="644">
        <v>7850.2206643560003</v>
      </c>
      <c r="S26" s="432">
        <v>3.5999999999999997E-2</v>
      </c>
      <c r="T26" s="433">
        <v>5.2400000000000002E-2</v>
      </c>
      <c r="AG26" s="83"/>
    </row>
    <row r="27" spans="1:33" ht="11.5" customHeight="1">
      <c r="A27" s="878"/>
      <c r="B27" s="83" t="s">
        <v>95</v>
      </c>
      <c r="C27" s="531">
        <v>5.9900000000000002E-2</v>
      </c>
      <c r="D27" s="531">
        <v>5.9900000000000002E-2</v>
      </c>
      <c r="E27" s="531">
        <v>5.9900000000000002E-2</v>
      </c>
      <c r="F27" s="531">
        <v>5.9900000000000002E-2</v>
      </c>
      <c r="G27" s="532" t="s">
        <v>18</v>
      </c>
      <c r="H27" s="532" t="s">
        <v>18</v>
      </c>
      <c r="I27" s="532" t="s">
        <v>18</v>
      </c>
      <c r="J27" s="532"/>
      <c r="K27" s="532"/>
      <c r="L27" s="532"/>
      <c r="M27" s="532"/>
      <c r="N27" s="531">
        <v>0.11600000000000001</v>
      </c>
      <c r="O27" s="531">
        <v>9.7000000000000003E-2</v>
      </c>
      <c r="P27" s="533">
        <v>7.9799999999999996E-2</v>
      </c>
      <c r="Q27" s="534">
        <v>100000</v>
      </c>
      <c r="R27" s="644">
        <v>7850.2206643560003</v>
      </c>
      <c r="S27" s="432">
        <v>3.5999999999999997E-2</v>
      </c>
      <c r="T27" s="433">
        <v>5.2400000000000002E-2</v>
      </c>
      <c r="AG27" s="83"/>
    </row>
    <row r="28" spans="1:33" ht="11.5" customHeight="1">
      <c r="A28" s="769" t="s">
        <v>462</v>
      </c>
      <c r="B28" s="83" t="s">
        <v>459</v>
      </c>
      <c r="C28" s="531">
        <v>5.9900000000000002E-2</v>
      </c>
      <c r="D28" s="531">
        <v>5.9900000000000002E-2</v>
      </c>
      <c r="E28" s="531">
        <v>5.9900000000000002E-2</v>
      </c>
      <c r="F28" s="531">
        <v>5.9900000000000002E-2</v>
      </c>
      <c r="G28" s="531">
        <v>5.9900000000000002E-2</v>
      </c>
      <c r="H28" s="532" t="s">
        <v>18</v>
      </c>
      <c r="I28" s="532" t="s">
        <v>18</v>
      </c>
      <c r="J28" s="532"/>
      <c r="K28" s="532"/>
      <c r="L28" s="532"/>
      <c r="M28" s="532"/>
      <c r="N28" s="531">
        <v>0.11600000000000001</v>
      </c>
      <c r="O28" s="531">
        <v>9.7000000000000003E-2</v>
      </c>
      <c r="P28" s="533">
        <v>7.9799999999999996E-2</v>
      </c>
      <c r="Q28" s="580">
        <v>80000</v>
      </c>
      <c r="R28" s="644">
        <v>6254.8</v>
      </c>
      <c r="S28" s="432">
        <v>4.48E-2</v>
      </c>
      <c r="T28" s="433">
        <v>5.2299999999999999E-2</v>
      </c>
    </row>
    <row r="29" spans="1:33" ht="11.5" customHeight="1">
      <c r="A29" s="770"/>
      <c r="B29" s="83" t="s">
        <v>460</v>
      </c>
      <c r="C29" s="531">
        <v>5.9900000000000002E-2</v>
      </c>
      <c r="D29" s="531">
        <v>5.9900000000000002E-2</v>
      </c>
      <c r="E29" s="531">
        <v>5.9900000000000002E-2</v>
      </c>
      <c r="F29" s="531">
        <v>5.9900000000000002E-2</v>
      </c>
      <c r="G29" s="531">
        <v>5.9900000000000002E-2</v>
      </c>
      <c r="H29" s="532" t="s">
        <v>18</v>
      </c>
      <c r="I29" s="532" t="s">
        <v>18</v>
      </c>
      <c r="J29" s="532"/>
      <c r="K29" s="532"/>
      <c r="L29" s="532"/>
      <c r="M29" s="532"/>
      <c r="N29" s="531">
        <v>0.11600000000000001</v>
      </c>
      <c r="O29" s="531">
        <v>9.7000000000000003E-2</v>
      </c>
      <c r="P29" s="533">
        <v>7.9799999999999996E-2</v>
      </c>
      <c r="Q29" s="580">
        <v>80000</v>
      </c>
      <c r="R29" s="644">
        <v>6254.8</v>
      </c>
      <c r="S29" s="432">
        <v>4.48E-2</v>
      </c>
      <c r="T29" s="433">
        <v>5.2299999999999999E-2</v>
      </c>
      <c r="AG29" s="83"/>
    </row>
    <row r="30" spans="1:33" ht="11.5" customHeight="1">
      <c r="A30" s="771"/>
      <c r="B30" s="83" t="s">
        <v>461</v>
      </c>
      <c r="C30" s="531">
        <v>5.9900000000000002E-2</v>
      </c>
      <c r="D30" s="531">
        <v>5.9900000000000002E-2</v>
      </c>
      <c r="E30" s="531">
        <v>5.9900000000000002E-2</v>
      </c>
      <c r="F30" s="531">
        <v>5.9900000000000002E-2</v>
      </c>
      <c r="G30" s="531">
        <v>5.9900000000000002E-2</v>
      </c>
      <c r="H30" s="532" t="s">
        <v>18</v>
      </c>
      <c r="I30" s="532" t="s">
        <v>18</v>
      </c>
      <c r="J30" s="532"/>
      <c r="K30" s="532"/>
      <c r="L30" s="532"/>
      <c r="M30" s="532"/>
      <c r="N30" s="531">
        <v>0.11600000000000001</v>
      </c>
      <c r="O30" s="531">
        <v>9.7000000000000003E-2</v>
      </c>
      <c r="P30" s="593">
        <v>7.9799999999999996E-2</v>
      </c>
      <c r="Q30" s="580">
        <v>80000</v>
      </c>
      <c r="R30" s="644">
        <v>6254.8</v>
      </c>
      <c r="S30" s="432">
        <v>4.48E-2</v>
      </c>
      <c r="T30" s="433">
        <v>5.2299999999999999E-2</v>
      </c>
    </row>
    <row r="31" spans="1:33" ht="11.5" customHeight="1">
      <c r="A31" s="875" t="s">
        <v>389</v>
      </c>
      <c r="B31" s="83" t="s">
        <v>329</v>
      </c>
      <c r="C31" s="531">
        <v>5.9900000000000002E-2</v>
      </c>
      <c r="D31" s="531">
        <v>5.9900000000000002E-2</v>
      </c>
      <c r="E31" s="531">
        <v>5.9900000000000002E-2</v>
      </c>
      <c r="F31" s="531">
        <v>5.9900000000000002E-2</v>
      </c>
      <c r="G31" s="531">
        <v>5.9900000000000002E-2</v>
      </c>
      <c r="H31" s="532" t="s">
        <v>18</v>
      </c>
      <c r="I31" s="532" t="s">
        <v>18</v>
      </c>
      <c r="J31" s="532"/>
      <c r="K31" s="532"/>
      <c r="L31" s="532"/>
      <c r="M31" s="532"/>
      <c r="N31" s="531">
        <v>0.11600000000000001</v>
      </c>
      <c r="O31" s="531">
        <v>9.7000000000000003E-2</v>
      </c>
      <c r="P31" s="533">
        <v>7.9799999999999996E-2</v>
      </c>
      <c r="Q31" s="580">
        <v>80000</v>
      </c>
      <c r="R31" s="644">
        <v>6254.8</v>
      </c>
      <c r="S31" s="432">
        <v>4.48E-2</v>
      </c>
      <c r="T31" s="433">
        <v>5.2299999999999999E-2</v>
      </c>
    </row>
    <row r="32" spans="1:33" ht="11.5" customHeight="1">
      <c r="A32" s="877"/>
      <c r="B32" s="83" t="s">
        <v>327</v>
      </c>
      <c r="C32" s="531">
        <v>5.9900000000000002E-2</v>
      </c>
      <c r="D32" s="531">
        <v>5.9900000000000002E-2</v>
      </c>
      <c r="E32" s="531">
        <v>5.9900000000000002E-2</v>
      </c>
      <c r="F32" s="531">
        <v>5.9900000000000002E-2</v>
      </c>
      <c r="G32" s="531">
        <v>5.9900000000000002E-2</v>
      </c>
      <c r="H32" s="532" t="s">
        <v>18</v>
      </c>
      <c r="I32" s="532" t="s">
        <v>18</v>
      </c>
      <c r="J32" s="532"/>
      <c r="K32" s="532"/>
      <c r="L32" s="532"/>
      <c r="M32" s="532"/>
      <c r="N32" s="531">
        <v>0.11600000000000001</v>
      </c>
      <c r="O32" s="531">
        <v>9.7000000000000003E-2</v>
      </c>
      <c r="P32" s="533">
        <v>7.9799999999999996E-2</v>
      </c>
      <c r="Q32" s="580">
        <v>80000</v>
      </c>
      <c r="R32" s="644">
        <v>6254.8</v>
      </c>
      <c r="S32" s="432">
        <v>4.48E-2</v>
      </c>
      <c r="T32" s="433">
        <v>5.2299999999999999E-2</v>
      </c>
    </row>
    <row r="33" spans="1:20" ht="11.5" customHeight="1">
      <c r="A33" s="876" t="s">
        <v>347</v>
      </c>
      <c r="B33" s="83" t="s">
        <v>345</v>
      </c>
      <c r="C33" s="531">
        <v>5.9900000000000002E-2</v>
      </c>
      <c r="D33" s="531">
        <v>5.9900000000000002E-2</v>
      </c>
      <c r="E33" s="531">
        <v>5.9900000000000002E-2</v>
      </c>
      <c r="F33" s="531">
        <v>5.9900000000000002E-2</v>
      </c>
      <c r="G33" s="531">
        <v>5.9900000000000002E-2</v>
      </c>
      <c r="H33" s="532" t="s">
        <v>18</v>
      </c>
      <c r="I33" s="532" t="s">
        <v>18</v>
      </c>
      <c r="J33" s="532"/>
      <c r="K33" s="532"/>
      <c r="L33" s="532"/>
      <c r="M33" s="532"/>
      <c r="N33" s="531">
        <v>0.11600000000000001</v>
      </c>
      <c r="O33" s="531">
        <v>9.7000000000000003E-2</v>
      </c>
      <c r="P33" s="535"/>
      <c r="Q33" s="535"/>
      <c r="R33" s="535"/>
      <c r="S33" s="491"/>
      <c r="T33" s="535"/>
    </row>
    <row r="34" spans="1:20" ht="11.5" customHeight="1">
      <c r="A34" s="876"/>
      <c r="B34" s="83" t="s">
        <v>466</v>
      </c>
      <c r="C34" s="531">
        <v>5.9900000000000002E-2</v>
      </c>
      <c r="D34" s="531">
        <v>5.9900000000000002E-2</v>
      </c>
      <c r="E34" s="531">
        <v>5.9900000000000002E-2</v>
      </c>
      <c r="F34" s="531">
        <v>5.9900000000000002E-2</v>
      </c>
      <c r="G34" s="531">
        <v>5.9900000000000002E-2</v>
      </c>
      <c r="H34" s="532" t="s">
        <v>18</v>
      </c>
      <c r="I34" s="532" t="s">
        <v>18</v>
      </c>
      <c r="J34" s="532"/>
      <c r="K34" s="532"/>
      <c r="L34" s="532"/>
      <c r="M34" s="532"/>
      <c r="N34" s="531">
        <v>0.11600000000000001</v>
      </c>
      <c r="O34" s="531">
        <v>9.7000000000000003E-2</v>
      </c>
      <c r="P34" s="535"/>
      <c r="Q34" s="535"/>
      <c r="R34" s="535"/>
      <c r="S34" s="491"/>
      <c r="T34" s="535"/>
    </row>
    <row r="35" spans="1:20" ht="11.5" customHeight="1">
      <c r="A35" s="876"/>
      <c r="B35" s="83" t="s">
        <v>606</v>
      </c>
      <c r="C35" s="531">
        <v>5.9900000000000002E-2</v>
      </c>
      <c r="D35" s="531">
        <v>5.9900000000000002E-2</v>
      </c>
      <c r="E35" s="531">
        <v>5.9900000000000002E-2</v>
      </c>
      <c r="F35" s="531">
        <v>5.9900000000000002E-2</v>
      </c>
      <c r="G35" s="531">
        <v>5.9900000000000002E-2</v>
      </c>
      <c r="H35" s="532" t="s">
        <v>18</v>
      </c>
      <c r="I35" s="532" t="s">
        <v>18</v>
      </c>
      <c r="J35" s="532"/>
      <c r="K35" s="532"/>
      <c r="L35" s="532"/>
      <c r="M35" s="532"/>
      <c r="N35" s="531">
        <v>0.11600000000000001</v>
      </c>
      <c r="O35" s="531">
        <v>9.7000000000000003E-2</v>
      </c>
      <c r="P35" s="535"/>
      <c r="Q35" s="535"/>
      <c r="R35" s="535"/>
      <c r="S35" s="491"/>
      <c r="T35" s="535"/>
    </row>
    <row r="36" spans="1:20" ht="11.5" customHeight="1">
      <c r="A36" s="877"/>
      <c r="B36" s="83" t="s">
        <v>465</v>
      </c>
      <c r="C36" s="531">
        <v>5.9900000000000002E-2</v>
      </c>
      <c r="D36" s="531">
        <v>5.9900000000000002E-2</v>
      </c>
      <c r="E36" s="531">
        <v>5.9900000000000002E-2</v>
      </c>
      <c r="F36" s="531">
        <v>5.9900000000000002E-2</v>
      </c>
      <c r="G36" s="531">
        <v>5.9900000000000002E-2</v>
      </c>
      <c r="H36" s="532" t="s">
        <v>18</v>
      </c>
      <c r="I36" s="532" t="s">
        <v>18</v>
      </c>
      <c r="J36" s="532"/>
      <c r="K36" s="532"/>
      <c r="L36" s="532"/>
      <c r="M36" s="532"/>
      <c r="N36" s="532" t="s">
        <v>18</v>
      </c>
      <c r="O36" s="532" t="s">
        <v>18</v>
      </c>
      <c r="P36" s="535"/>
      <c r="Q36" s="535"/>
      <c r="R36" s="535"/>
      <c r="S36" s="491"/>
      <c r="T36" s="535"/>
    </row>
    <row r="37" spans="1:20" ht="11.5" customHeight="1">
      <c r="A37" s="875" t="s">
        <v>1</v>
      </c>
      <c r="B37" s="83" t="s">
        <v>78</v>
      </c>
      <c r="C37" s="531">
        <v>5.9900000000000002E-2</v>
      </c>
      <c r="D37" s="531">
        <v>5.9900000000000002E-2</v>
      </c>
      <c r="E37" s="531">
        <v>5.9900000000000002E-2</v>
      </c>
      <c r="F37" s="531">
        <v>5.9900000000000002E-2</v>
      </c>
      <c r="G37" s="531">
        <v>5.9900000000000002E-2</v>
      </c>
      <c r="H37" s="531">
        <v>5.9900000000000002E-2</v>
      </c>
      <c r="I37" s="532" t="s">
        <v>18</v>
      </c>
      <c r="J37" s="532"/>
      <c r="K37" s="531"/>
      <c r="L37" s="531"/>
      <c r="M37" s="531"/>
      <c r="N37" s="531">
        <v>0.11600000000000001</v>
      </c>
      <c r="O37" s="531">
        <v>9.7000000000000003E-2</v>
      </c>
      <c r="P37" s="535"/>
      <c r="Q37" s="521"/>
      <c r="R37" s="535"/>
      <c r="S37" s="491"/>
      <c r="T37" s="535"/>
    </row>
    <row r="38" spans="1:20" ht="11.5" customHeight="1">
      <c r="A38" s="876"/>
      <c r="B38" s="83" t="s">
        <v>88</v>
      </c>
      <c r="C38" s="531">
        <v>5.9900000000000002E-2</v>
      </c>
      <c r="D38" s="531">
        <v>5.9900000000000002E-2</v>
      </c>
      <c r="E38" s="531">
        <v>5.9900000000000002E-2</v>
      </c>
      <c r="F38" s="531">
        <v>5.9900000000000002E-2</v>
      </c>
      <c r="G38" s="531">
        <v>5.9900000000000002E-2</v>
      </c>
      <c r="H38" s="531">
        <v>5.9900000000000002E-2</v>
      </c>
      <c r="I38" s="532" t="s">
        <v>18</v>
      </c>
      <c r="J38" s="532"/>
      <c r="K38" s="531"/>
      <c r="L38" s="531"/>
      <c r="M38" s="531"/>
      <c r="N38" s="531">
        <v>0.11600000000000001</v>
      </c>
      <c r="O38" s="531">
        <v>9.7000000000000003E-2</v>
      </c>
      <c r="P38" s="535"/>
      <c r="Q38" s="521"/>
      <c r="R38" s="535"/>
    </row>
    <row r="39" spans="1:20" ht="11.5" customHeight="1">
      <c r="A39" s="877"/>
      <c r="B39" s="83" t="s">
        <v>89</v>
      </c>
      <c r="C39" s="531">
        <v>5.9900000000000002E-2</v>
      </c>
      <c r="D39" s="531">
        <v>5.9900000000000002E-2</v>
      </c>
      <c r="E39" s="531">
        <v>5.9900000000000002E-2</v>
      </c>
      <c r="F39" s="531">
        <v>5.9900000000000002E-2</v>
      </c>
      <c r="G39" s="531">
        <v>5.9900000000000002E-2</v>
      </c>
      <c r="H39" s="531">
        <v>5.9900000000000002E-2</v>
      </c>
      <c r="I39" s="532" t="s">
        <v>18</v>
      </c>
      <c r="J39" s="589"/>
      <c r="K39" s="545"/>
      <c r="L39" s="545"/>
      <c r="M39" s="531"/>
      <c r="N39" s="531">
        <v>0.11600000000000001</v>
      </c>
      <c r="O39" s="531">
        <v>9.7000000000000003E-2</v>
      </c>
      <c r="P39" s="535"/>
      <c r="Q39" s="521"/>
      <c r="R39" s="535"/>
    </row>
    <row r="40" spans="1:20" ht="11.5" customHeight="1">
      <c r="A40" s="875" t="s">
        <v>494</v>
      </c>
      <c r="B40" s="7" t="s">
        <v>569</v>
      </c>
      <c r="C40" s="531">
        <v>5.9900000000000002E-2</v>
      </c>
      <c r="D40" s="531">
        <v>5.9900000000000002E-2</v>
      </c>
      <c r="E40" s="531">
        <v>5.9900000000000002E-2</v>
      </c>
      <c r="F40" s="531">
        <v>5.9900000000000002E-2</v>
      </c>
      <c r="G40" s="531">
        <v>5.9900000000000002E-2</v>
      </c>
      <c r="H40" s="532" t="s">
        <v>18</v>
      </c>
      <c r="I40" s="532" t="s">
        <v>18</v>
      </c>
      <c r="J40" s="589"/>
      <c r="K40" s="545"/>
      <c r="L40" s="545"/>
      <c r="M40" s="531"/>
      <c r="N40" s="531">
        <v>0.11600000000000001</v>
      </c>
      <c r="O40" s="531">
        <v>9.7000000000000003E-2</v>
      </c>
      <c r="P40" s="535"/>
      <c r="Q40" s="521"/>
      <c r="R40" s="535"/>
    </row>
    <row r="41" spans="1:20" ht="11.5" customHeight="1">
      <c r="A41" s="876"/>
      <c r="B41" s="7" t="s">
        <v>570</v>
      </c>
      <c r="C41" s="531">
        <v>5.9900000000000002E-2</v>
      </c>
      <c r="D41" s="531">
        <v>5.9900000000000002E-2</v>
      </c>
      <c r="E41" s="531">
        <v>5.9900000000000002E-2</v>
      </c>
      <c r="F41" s="531">
        <v>5.9900000000000002E-2</v>
      </c>
      <c r="G41" s="531">
        <v>5.9900000000000002E-2</v>
      </c>
      <c r="H41" s="532" t="s">
        <v>18</v>
      </c>
      <c r="I41" s="532" t="s">
        <v>18</v>
      </c>
      <c r="J41" s="589"/>
      <c r="K41" s="545"/>
      <c r="L41" s="545"/>
      <c r="M41" s="531"/>
      <c r="N41" s="531">
        <v>0.11600000000000001</v>
      </c>
      <c r="O41" s="531">
        <v>9.7000000000000003E-2</v>
      </c>
      <c r="P41" s="535"/>
      <c r="Q41" s="521"/>
      <c r="R41" s="535"/>
    </row>
    <row r="42" spans="1:20" ht="11.5" customHeight="1">
      <c r="A42" s="876"/>
      <c r="B42" s="7" t="s">
        <v>571</v>
      </c>
      <c r="C42" s="531">
        <v>5.9900000000000002E-2</v>
      </c>
      <c r="D42" s="531">
        <v>5.9900000000000002E-2</v>
      </c>
      <c r="E42" s="531">
        <v>5.9900000000000002E-2</v>
      </c>
      <c r="F42" s="531">
        <v>5.9900000000000002E-2</v>
      </c>
      <c r="G42" s="531">
        <v>5.9900000000000002E-2</v>
      </c>
      <c r="H42" s="532" t="s">
        <v>18</v>
      </c>
      <c r="I42" s="532" t="s">
        <v>18</v>
      </c>
      <c r="J42" s="589"/>
      <c r="K42" s="545"/>
      <c r="L42" s="545"/>
      <c r="M42" s="531"/>
      <c r="N42" s="531">
        <v>0.11600000000000001</v>
      </c>
      <c r="O42" s="531">
        <v>9.7000000000000003E-2</v>
      </c>
      <c r="P42" s="535"/>
      <c r="Q42" s="521"/>
      <c r="R42" s="535"/>
    </row>
    <row r="43" spans="1:20" ht="11.5" customHeight="1">
      <c r="A43" s="876"/>
      <c r="B43" s="7" t="s">
        <v>572</v>
      </c>
      <c r="C43" s="531">
        <v>5.9900000000000002E-2</v>
      </c>
      <c r="D43" s="531">
        <v>5.9900000000000002E-2</v>
      </c>
      <c r="E43" s="531">
        <v>5.9900000000000002E-2</v>
      </c>
      <c r="F43" s="531">
        <v>5.9900000000000002E-2</v>
      </c>
      <c r="G43" s="531">
        <v>5.9900000000000002E-2</v>
      </c>
      <c r="H43" s="532" t="s">
        <v>18</v>
      </c>
      <c r="I43" s="532" t="s">
        <v>18</v>
      </c>
      <c r="J43" s="589"/>
      <c r="K43" s="545"/>
      <c r="L43" s="545"/>
      <c r="M43" s="531"/>
      <c r="N43" s="531">
        <v>0.11600000000000001</v>
      </c>
      <c r="O43" s="531">
        <v>9.7000000000000003E-2</v>
      </c>
      <c r="P43" s="535"/>
      <c r="Q43" s="521"/>
      <c r="R43" s="535"/>
    </row>
    <row r="44" spans="1:20" ht="11.5" customHeight="1">
      <c r="A44" s="876"/>
      <c r="B44" s="7" t="s">
        <v>573</v>
      </c>
      <c r="C44" s="531">
        <v>5.9900000000000002E-2</v>
      </c>
      <c r="D44" s="531">
        <v>5.9900000000000002E-2</v>
      </c>
      <c r="E44" s="531">
        <v>5.9900000000000002E-2</v>
      </c>
      <c r="F44" s="531">
        <v>5.9900000000000002E-2</v>
      </c>
      <c r="G44" s="531">
        <v>5.9900000000000002E-2</v>
      </c>
      <c r="H44" s="532" t="s">
        <v>18</v>
      </c>
      <c r="I44" s="532" t="s">
        <v>18</v>
      </c>
      <c r="J44" s="589"/>
      <c r="M44" s="531"/>
      <c r="N44" s="531">
        <v>0.11600000000000001</v>
      </c>
      <c r="O44" s="531">
        <v>9.7000000000000003E-2</v>
      </c>
      <c r="P44" s="535"/>
      <c r="Q44" s="521"/>
      <c r="R44" s="535"/>
    </row>
    <row r="45" spans="1:20" ht="11.5" customHeight="1">
      <c r="A45" s="877"/>
      <c r="B45" s="7" t="s">
        <v>548</v>
      </c>
      <c r="C45" s="531">
        <v>5.9900000000000002E-2</v>
      </c>
      <c r="D45" s="531">
        <v>5.9900000000000002E-2</v>
      </c>
      <c r="E45" s="531">
        <v>5.9900000000000002E-2</v>
      </c>
      <c r="F45" s="531">
        <v>5.9900000000000002E-2</v>
      </c>
      <c r="G45" s="531">
        <v>5.9900000000000002E-2</v>
      </c>
      <c r="H45" s="532" t="s">
        <v>18</v>
      </c>
      <c r="I45" s="532" t="s">
        <v>18</v>
      </c>
      <c r="J45" s="589"/>
      <c r="K45" s="545"/>
      <c r="L45" s="545"/>
      <c r="M45" s="531"/>
      <c r="N45" s="531">
        <v>0.11600000000000001</v>
      </c>
      <c r="O45" s="531">
        <v>9.7000000000000003E-2</v>
      </c>
      <c r="P45" s="535"/>
      <c r="Q45" s="521"/>
      <c r="R45" s="535"/>
    </row>
    <row r="46" spans="1:20" ht="11.5" customHeight="1">
      <c r="A46" s="769" t="s">
        <v>568</v>
      </c>
      <c r="B46" s="7" t="s">
        <v>582</v>
      </c>
      <c r="C46" s="531">
        <v>5.9900000000000002E-2</v>
      </c>
      <c r="D46" s="531">
        <v>5.9900000000000002E-2</v>
      </c>
      <c r="E46" s="531">
        <v>5.9900000000000002E-2</v>
      </c>
      <c r="F46" s="531">
        <v>5.9900000000000002E-2</v>
      </c>
      <c r="G46" s="531">
        <v>5.9900000000000002E-2</v>
      </c>
      <c r="H46" s="532" t="s">
        <v>18</v>
      </c>
      <c r="I46" s="532" t="s">
        <v>18</v>
      </c>
      <c r="J46" s="589"/>
      <c r="K46" s="545"/>
      <c r="L46" s="545"/>
      <c r="M46" s="531"/>
      <c r="N46" s="531">
        <v>0.11600000000000001</v>
      </c>
      <c r="O46" s="531">
        <v>9.7000000000000003E-2</v>
      </c>
      <c r="P46" s="535"/>
      <c r="Q46" s="521"/>
      <c r="R46" s="535"/>
    </row>
    <row r="47" spans="1:20" ht="11.5" customHeight="1">
      <c r="A47" s="770"/>
      <c r="B47" s="7" t="s">
        <v>583</v>
      </c>
      <c r="C47" s="531">
        <v>5.9900000000000002E-2</v>
      </c>
      <c r="D47" s="531">
        <v>5.9900000000000002E-2</v>
      </c>
      <c r="E47" s="531">
        <v>5.9900000000000002E-2</v>
      </c>
      <c r="F47" s="531">
        <v>5.9900000000000002E-2</v>
      </c>
      <c r="G47" s="531">
        <v>5.9900000000000002E-2</v>
      </c>
      <c r="H47" s="532" t="s">
        <v>18</v>
      </c>
      <c r="I47" s="532" t="s">
        <v>18</v>
      </c>
      <c r="J47" s="589"/>
      <c r="K47" s="545"/>
      <c r="L47" s="545"/>
      <c r="M47" s="531"/>
      <c r="N47" s="531">
        <v>0.11600000000000001</v>
      </c>
      <c r="O47" s="531">
        <v>9.7000000000000003E-2</v>
      </c>
      <c r="P47" s="535"/>
      <c r="Q47" s="521"/>
      <c r="R47" s="535"/>
    </row>
    <row r="48" spans="1:20" ht="11.5" customHeight="1">
      <c r="A48" s="770"/>
      <c r="B48" s="7" t="s">
        <v>608</v>
      </c>
      <c r="C48" s="531">
        <v>5.9900000000000002E-2</v>
      </c>
      <c r="D48" s="531">
        <v>5.9900000000000002E-2</v>
      </c>
      <c r="E48" s="531">
        <v>5.9900000000000002E-2</v>
      </c>
      <c r="F48" s="531">
        <v>5.9900000000000002E-2</v>
      </c>
      <c r="G48" s="531">
        <v>5.9900000000000002E-2</v>
      </c>
      <c r="H48" s="532" t="s">
        <v>18</v>
      </c>
      <c r="I48" s="532" t="s">
        <v>18</v>
      </c>
      <c r="J48" s="589"/>
      <c r="K48" s="545"/>
      <c r="L48" s="545"/>
      <c r="M48" s="531"/>
      <c r="N48" s="531">
        <v>0.11600000000000001</v>
      </c>
      <c r="O48" s="531">
        <v>9.7000000000000003E-2</v>
      </c>
      <c r="P48" s="535"/>
      <c r="Q48" s="521"/>
      <c r="R48" s="535"/>
    </row>
    <row r="49" spans="1:19" ht="11.5" customHeight="1">
      <c r="A49" s="771"/>
      <c r="B49" s="7" t="s">
        <v>614</v>
      </c>
      <c r="C49" s="531">
        <v>5.9900000000000002E-2</v>
      </c>
      <c r="D49" s="531">
        <v>5.9900000000000002E-2</v>
      </c>
      <c r="E49" s="531">
        <v>5.9900000000000002E-2</v>
      </c>
      <c r="F49" s="531">
        <v>5.9900000000000002E-2</v>
      </c>
      <c r="G49" s="531">
        <v>5.9900000000000002E-2</v>
      </c>
      <c r="H49" s="532" t="s">
        <v>18</v>
      </c>
      <c r="I49" s="532" t="s">
        <v>18</v>
      </c>
      <c r="J49" s="589"/>
      <c r="K49" s="545" t="s">
        <v>51</v>
      </c>
      <c r="L49" s="545" t="s">
        <v>472</v>
      </c>
      <c r="M49" s="531"/>
      <c r="N49" s="531">
        <v>0.11600000000000001</v>
      </c>
      <c r="O49" s="531">
        <v>9.7000000000000003E-2</v>
      </c>
      <c r="P49" s="535"/>
      <c r="Q49" s="521"/>
      <c r="R49" s="535"/>
    </row>
    <row r="50" spans="1:19" ht="11.5" customHeight="1">
      <c r="A50" s="778" t="s">
        <v>418</v>
      </c>
      <c r="B50" s="83" t="s">
        <v>417</v>
      </c>
      <c r="C50" s="531">
        <v>5.9900000000000002E-2</v>
      </c>
      <c r="D50" s="531">
        <v>5.9900000000000002E-2</v>
      </c>
      <c r="E50" s="531">
        <v>5.9900000000000002E-2</v>
      </c>
      <c r="F50" s="531">
        <v>5.9900000000000002E-2</v>
      </c>
      <c r="G50" s="531">
        <v>5.9900000000000002E-2</v>
      </c>
      <c r="H50" s="532" t="s">
        <v>18</v>
      </c>
      <c r="I50" s="531">
        <v>5.9900000000000002E-2</v>
      </c>
      <c r="J50" s="545">
        <v>2.7300000000000001E-2</v>
      </c>
      <c r="K50" s="642">
        <v>90000</v>
      </c>
      <c r="L50" s="643">
        <v>3667.5</v>
      </c>
      <c r="M50" s="531"/>
      <c r="N50" s="531">
        <v>0.11600000000000001</v>
      </c>
      <c r="O50" s="531">
        <v>9.7000000000000003E-2</v>
      </c>
      <c r="Q50" s="521"/>
      <c r="R50" s="516">
        <v>4199.9999999999563</v>
      </c>
      <c r="S50" s="521">
        <v>2.63E-2</v>
      </c>
    </row>
    <row r="51" spans="1:19" ht="11.5" customHeight="1">
      <c r="A51" s="778"/>
      <c r="B51" s="83" t="s">
        <v>408</v>
      </c>
      <c r="C51" s="531">
        <v>5.9900000000000002E-2</v>
      </c>
      <c r="D51" s="531">
        <v>5.9900000000000002E-2</v>
      </c>
      <c r="E51" s="531">
        <v>5.9900000000000002E-2</v>
      </c>
      <c r="F51" s="531">
        <v>5.9900000000000002E-2</v>
      </c>
      <c r="G51" s="531">
        <v>5.9900000000000002E-2</v>
      </c>
      <c r="H51" s="532" t="s">
        <v>18</v>
      </c>
      <c r="I51" s="531">
        <v>5.9900000000000002E-2</v>
      </c>
      <c r="J51" s="545">
        <v>2.7300000000000001E-2</v>
      </c>
      <c r="K51" s="642">
        <v>90000</v>
      </c>
      <c r="L51" s="643">
        <v>3667.5</v>
      </c>
      <c r="M51" s="531"/>
      <c r="N51" s="531">
        <v>0.11600000000000001</v>
      </c>
      <c r="O51" s="531">
        <v>9.7000000000000003E-2</v>
      </c>
      <c r="Q51" s="521"/>
      <c r="R51" s="516">
        <v>3512.5</v>
      </c>
      <c r="S51" s="521">
        <v>3.1800000000000002E-2</v>
      </c>
    </row>
    <row r="52" spans="1:19" ht="11.5" customHeight="1">
      <c r="A52" s="778"/>
      <c r="B52" s="83" t="s">
        <v>409</v>
      </c>
      <c r="C52" s="531">
        <v>5.9900000000000002E-2</v>
      </c>
      <c r="D52" s="531">
        <v>5.9900000000000002E-2</v>
      </c>
      <c r="E52" s="531">
        <v>5.9900000000000002E-2</v>
      </c>
      <c r="F52" s="531">
        <v>5.9900000000000002E-2</v>
      </c>
      <c r="G52" s="531">
        <v>5.9900000000000002E-2</v>
      </c>
      <c r="H52" s="532" t="s">
        <v>18</v>
      </c>
      <c r="I52" s="531">
        <v>5.9900000000000002E-2</v>
      </c>
      <c r="J52" s="545">
        <v>2.7300000000000001E-2</v>
      </c>
      <c r="K52" s="642">
        <v>90000</v>
      </c>
      <c r="L52" s="643">
        <v>3667.5</v>
      </c>
      <c r="M52" s="531"/>
      <c r="N52" s="531">
        <v>0.11600000000000001</v>
      </c>
      <c r="O52" s="531">
        <v>9.7000000000000003E-2</v>
      </c>
      <c r="Q52" s="521"/>
      <c r="R52" s="516">
        <v>3925</v>
      </c>
      <c r="S52" s="521">
        <v>2.8500000000000001E-2</v>
      </c>
    </row>
    <row r="53" spans="1:19" ht="11.5" customHeight="1">
      <c r="A53" s="778" t="s">
        <v>420</v>
      </c>
      <c r="B53" s="83" t="s">
        <v>419</v>
      </c>
      <c r="C53" s="531">
        <v>5.9900000000000002E-2</v>
      </c>
      <c r="D53" s="531">
        <v>5.9900000000000002E-2</v>
      </c>
      <c r="E53" s="531">
        <v>5.9900000000000002E-2</v>
      </c>
      <c r="F53" s="531">
        <v>5.9900000000000002E-2</v>
      </c>
      <c r="G53" s="531">
        <v>5.9900000000000002E-2</v>
      </c>
      <c r="H53" s="532" t="s">
        <v>18</v>
      </c>
      <c r="I53" s="531">
        <v>5.9900000000000002E-2</v>
      </c>
      <c r="J53" s="545">
        <v>3.32E-2</v>
      </c>
      <c r="K53" s="642">
        <v>90000</v>
      </c>
      <c r="L53" s="643">
        <v>3003.75</v>
      </c>
      <c r="M53" s="531"/>
      <c r="N53" s="531">
        <v>0.11600000000000001</v>
      </c>
      <c r="O53" s="531">
        <v>9.7000000000000003E-2</v>
      </c>
      <c r="Q53" s="521"/>
      <c r="R53" s="516">
        <v>2600</v>
      </c>
      <c r="S53" s="521">
        <v>3.39E-2</v>
      </c>
    </row>
    <row r="54" spans="1:19" ht="11.5" customHeight="1">
      <c r="A54" s="778"/>
      <c r="B54" s="83" t="s">
        <v>413</v>
      </c>
      <c r="C54" s="531">
        <v>5.9900000000000002E-2</v>
      </c>
      <c r="D54" s="531">
        <v>5.9900000000000002E-2</v>
      </c>
      <c r="E54" s="531">
        <v>5.9900000000000002E-2</v>
      </c>
      <c r="F54" s="531">
        <v>5.9900000000000002E-2</v>
      </c>
      <c r="G54" s="531">
        <v>5.9900000000000002E-2</v>
      </c>
      <c r="H54" s="532" t="s">
        <v>18</v>
      </c>
      <c r="I54" s="531">
        <v>5.9900000000000002E-2</v>
      </c>
      <c r="J54" s="545">
        <v>3.32E-2</v>
      </c>
      <c r="K54" s="642">
        <v>90000</v>
      </c>
      <c r="L54" s="643">
        <v>3003.75</v>
      </c>
      <c r="M54" s="531"/>
      <c r="N54" s="531">
        <v>0.11600000000000001</v>
      </c>
      <c r="O54" s="531">
        <v>9.7000000000000003E-2</v>
      </c>
      <c r="Q54" s="521"/>
    </row>
    <row r="55" spans="1:19" ht="11.5" customHeight="1">
      <c r="A55" s="778" t="s">
        <v>422</v>
      </c>
      <c r="B55" s="83" t="s">
        <v>421</v>
      </c>
      <c r="C55" s="531">
        <v>5.9900000000000002E-2</v>
      </c>
      <c r="D55" s="531">
        <v>5.9900000000000002E-2</v>
      </c>
      <c r="E55" s="531">
        <v>5.9900000000000002E-2</v>
      </c>
      <c r="F55" s="531">
        <v>5.9900000000000002E-2</v>
      </c>
      <c r="G55" s="531">
        <v>5.9900000000000002E-2</v>
      </c>
      <c r="H55" s="532" t="s">
        <v>18</v>
      </c>
      <c r="I55" s="531">
        <v>5.9900000000000002E-2</v>
      </c>
      <c r="J55" s="545">
        <v>2.9499999999999998E-2</v>
      </c>
      <c r="K55" s="642">
        <v>90000</v>
      </c>
      <c r="L55" s="643">
        <v>3420</v>
      </c>
      <c r="M55" s="531"/>
      <c r="N55" s="531">
        <v>0.11600000000000001</v>
      </c>
      <c r="O55" s="531">
        <v>9.7000000000000003E-2</v>
      </c>
      <c r="Q55" s="521"/>
    </row>
    <row r="56" spans="1:19" ht="11.5" customHeight="1">
      <c r="A56" s="778"/>
      <c r="B56" s="83" t="s">
        <v>415</v>
      </c>
      <c r="C56" s="531">
        <v>5.9900000000000002E-2</v>
      </c>
      <c r="D56" s="531">
        <v>5.9900000000000002E-2</v>
      </c>
      <c r="E56" s="531">
        <v>5.9900000000000002E-2</v>
      </c>
      <c r="F56" s="531">
        <v>5.9900000000000002E-2</v>
      </c>
      <c r="G56" s="531">
        <v>5.9900000000000002E-2</v>
      </c>
      <c r="H56" s="532" t="s">
        <v>18</v>
      </c>
      <c r="I56" s="531">
        <v>5.9900000000000002E-2</v>
      </c>
      <c r="J56" s="545">
        <v>2.9499999999999998E-2</v>
      </c>
      <c r="K56" s="642">
        <v>90000</v>
      </c>
      <c r="L56" s="643">
        <v>3420</v>
      </c>
      <c r="M56" s="531"/>
      <c r="N56" s="531">
        <v>0.11600000000000001</v>
      </c>
      <c r="O56" s="531">
        <v>9.7000000000000003E-2</v>
      </c>
      <c r="Q56" s="521"/>
    </row>
    <row r="57" spans="1:19" ht="11.5" customHeight="1">
      <c r="A57" s="769" t="s">
        <v>260</v>
      </c>
      <c r="B57" s="83" t="s">
        <v>423</v>
      </c>
      <c r="C57" s="531">
        <v>5.9900000000000002E-2</v>
      </c>
      <c r="D57" s="531">
        <v>5.9900000000000002E-2</v>
      </c>
      <c r="E57" s="531">
        <v>5.9900000000000002E-2</v>
      </c>
      <c r="F57" s="531">
        <v>5.9900000000000002E-2</v>
      </c>
      <c r="G57" s="531">
        <v>5.9900000000000002E-2</v>
      </c>
      <c r="H57" s="532" t="s">
        <v>18</v>
      </c>
      <c r="I57" s="531">
        <v>5.9900000000000002E-2</v>
      </c>
      <c r="J57" s="545">
        <v>3.1800000000000002E-2</v>
      </c>
      <c r="K57" s="642">
        <v>70000</v>
      </c>
      <c r="L57" s="643">
        <v>2458.7500000000009</v>
      </c>
      <c r="M57" s="531"/>
      <c r="N57" s="531">
        <v>0.11600000000000001</v>
      </c>
      <c r="O57" s="531">
        <v>9.7000000000000003E-2</v>
      </c>
      <c r="Q57" s="521"/>
    </row>
    <row r="58" spans="1:19" ht="11.5" customHeight="1">
      <c r="A58" s="770"/>
      <c r="B58" s="83" t="s">
        <v>416</v>
      </c>
      <c r="C58" s="531">
        <v>5.9900000000000002E-2</v>
      </c>
      <c r="D58" s="531">
        <v>5.9900000000000002E-2</v>
      </c>
      <c r="E58" s="531">
        <v>5.9900000000000002E-2</v>
      </c>
      <c r="F58" s="531">
        <v>5.9900000000000002E-2</v>
      </c>
      <c r="G58" s="531">
        <v>5.9900000000000002E-2</v>
      </c>
      <c r="H58" s="532" t="s">
        <v>18</v>
      </c>
      <c r="I58" s="531">
        <v>5.9900000000000002E-2</v>
      </c>
      <c r="J58" s="545">
        <v>3.1800000000000002E-2</v>
      </c>
      <c r="K58" s="642">
        <v>70000</v>
      </c>
      <c r="L58" s="643">
        <v>2458.7500000000009</v>
      </c>
      <c r="M58" s="531"/>
      <c r="N58" s="531">
        <v>0.11600000000000001</v>
      </c>
      <c r="O58" s="531">
        <v>9.7000000000000003E-2</v>
      </c>
      <c r="Q58" s="521"/>
    </row>
    <row r="59" spans="1:19" ht="11.5" customHeight="1">
      <c r="A59" s="770"/>
      <c r="B59" s="83" t="s">
        <v>541</v>
      </c>
      <c r="C59" s="531">
        <v>5.9900000000000002E-2</v>
      </c>
      <c r="D59" s="531">
        <v>5.9900000000000002E-2</v>
      </c>
      <c r="E59" s="531">
        <v>5.9900000000000002E-2</v>
      </c>
      <c r="F59" s="531">
        <v>5.9900000000000002E-2</v>
      </c>
      <c r="G59" s="531">
        <v>5.9900000000000002E-2</v>
      </c>
      <c r="H59" s="532" t="s">
        <v>18</v>
      </c>
      <c r="I59" s="531">
        <v>5.9900000000000002E-2</v>
      </c>
      <c r="J59" s="545">
        <v>3.1800000000000002E-2</v>
      </c>
      <c r="K59" s="642">
        <v>70000</v>
      </c>
      <c r="L59" s="643">
        <v>2458.7500000000009</v>
      </c>
      <c r="M59" s="531"/>
      <c r="N59" s="531">
        <v>0.11600000000000001</v>
      </c>
      <c r="O59" s="531">
        <v>9.7000000000000003E-2</v>
      </c>
      <c r="Q59" s="521"/>
      <c r="R59" s="623"/>
    </row>
    <row r="60" spans="1:19" ht="11.5" customHeight="1">
      <c r="A60" s="771"/>
      <c r="B60" s="83" t="s">
        <v>540</v>
      </c>
      <c r="C60" s="531">
        <v>5.9900000000000002E-2</v>
      </c>
      <c r="D60" s="531">
        <v>5.9900000000000002E-2</v>
      </c>
      <c r="E60" s="531">
        <v>5.9900000000000002E-2</v>
      </c>
      <c r="F60" s="531">
        <v>5.9900000000000002E-2</v>
      </c>
      <c r="G60" s="531">
        <v>5.9900000000000002E-2</v>
      </c>
      <c r="H60" s="532" t="s">
        <v>18</v>
      </c>
      <c r="I60" s="531">
        <v>5.9900000000000002E-2</v>
      </c>
      <c r="J60" s="545">
        <v>3.1800000000000002E-2</v>
      </c>
      <c r="K60" s="642">
        <v>70000</v>
      </c>
      <c r="L60" s="643">
        <v>2458.7500000000009</v>
      </c>
      <c r="M60" s="531"/>
      <c r="N60" s="531">
        <v>0.11600000000000001</v>
      </c>
      <c r="O60" s="531">
        <v>9.7000000000000003E-2</v>
      </c>
      <c r="Q60" s="521"/>
      <c r="R60" s="623"/>
    </row>
    <row r="61" spans="1:19" ht="11.5" customHeight="1">
      <c r="A61" s="879" t="s">
        <v>271</v>
      </c>
      <c r="B61" s="527" t="s">
        <v>90</v>
      </c>
      <c r="C61" s="531">
        <v>5.9900000000000002E-2</v>
      </c>
      <c r="D61" s="531">
        <v>5.9900000000000002E-2</v>
      </c>
      <c r="E61" s="531">
        <v>5.9900000000000002E-2</v>
      </c>
      <c r="F61" s="532" t="s">
        <v>18</v>
      </c>
      <c r="G61" s="532" t="s">
        <v>18</v>
      </c>
      <c r="H61" s="532" t="s">
        <v>18</v>
      </c>
      <c r="I61" s="657">
        <v>5.9900000000000002E-2</v>
      </c>
      <c r="J61" s="532" t="s">
        <v>18</v>
      </c>
      <c r="K61" s="531"/>
      <c r="L61" s="531"/>
      <c r="M61" s="531"/>
      <c r="N61" s="531">
        <v>0.11600000000000001</v>
      </c>
      <c r="O61" s="531">
        <v>9.7000000000000003E-2</v>
      </c>
      <c r="Q61" s="521"/>
    </row>
    <row r="62" spans="1:19" ht="11.5" customHeight="1">
      <c r="A62" s="879"/>
      <c r="B62" s="527" t="s">
        <v>96</v>
      </c>
      <c r="C62" s="531">
        <v>5.9900000000000002E-2</v>
      </c>
      <c r="D62" s="531">
        <v>5.9900000000000002E-2</v>
      </c>
      <c r="E62" s="531">
        <v>5.9900000000000002E-2</v>
      </c>
      <c r="F62" s="532" t="s">
        <v>18</v>
      </c>
      <c r="G62" s="532" t="s">
        <v>18</v>
      </c>
      <c r="H62" s="532" t="s">
        <v>18</v>
      </c>
      <c r="I62" s="657">
        <v>5.9900000000000002E-2</v>
      </c>
      <c r="J62" s="532" t="s">
        <v>18</v>
      </c>
      <c r="K62" s="531"/>
      <c r="L62" s="531"/>
      <c r="M62" s="531"/>
      <c r="N62" s="531">
        <v>0.11600000000000001</v>
      </c>
      <c r="O62" s="531">
        <v>9.7000000000000003E-2</v>
      </c>
      <c r="Q62" s="521"/>
    </row>
    <row r="63" spans="1:19">
      <c r="A63" s="873" t="s">
        <v>33</v>
      </c>
      <c r="B63" s="527" t="s">
        <v>97</v>
      </c>
      <c r="C63" s="531">
        <v>5.9900000000000002E-2</v>
      </c>
      <c r="D63" s="531">
        <v>5.9900000000000002E-2</v>
      </c>
      <c r="E63" s="531">
        <v>5.9900000000000002E-2</v>
      </c>
      <c r="F63" s="531">
        <v>5.9900000000000002E-2</v>
      </c>
      <c r="G63" s="531">
        <v>5.9900000000000002E-2</v>
      </c>
      <c r="H63" s="532" t="s">
        <v>18</v>
      </c>
      <c r="I63" s="531">
        <v>5.9900000000000002E-2</v>
      </c>
      <c r="J63" s="532" t="s">
        <v>18</v>
      </c>
      <c r="K63" s="531"/>
      <c r="L63" s="531"/>
      <c r="M63" s="531"/>
      <c r="N63" s="531">
        <v>0.11600000000000001</v>
      </c>
      <c r="O63" s="531">
        <v>9.7000000000000003E-2</v>
      </c>
      <c r="Q63" s="521"/>
    </row>
    <row r="64" spans="1:19">
      <c r="A64" s="874"/>
      <c r="B64" s="527" t="s">
        <v>91</v>
      </c>
      <c r="C64" s="531">
        <v>5.9900000000000002E-2</v>
      </c>
      <c r="D64" s="531">
        <v>5.9900000000000002E-2</v>
      </c>
      <c r="E64" s="531">
        <v>5.9900000000000002E-2</v>
      </c>
      <c r="F64" s="531">
        <v>5.9900000000000002E-2</v>
      </c>
      <c r="G64" s="531">
        <v>5.9900000000000002E-2</v>
      </c>
      <c r="H64" s="532" t="s">
        <v>18</v>
      </c>
      <c r="I64" s="531">
        <v>5.9900000000000002E-2</v>
      </c>
      <c r="J64" s="532" t="s">
        <v>18</v>
      </c>
      <c r="K64" s="531"/>
      <c r="L64" s="531"/>
      <c r="M64" s="531"/>
      <c r="N64" s="531">
        <v>0.11600000000000001</v>
      </c>
      <c r="O64" s="531">
        <v>9.7000000000000003E-2</v>
      </c>
      <c r="Q64" s="521"/>
    </row>
    <row r="65" spans="1:17">
      <c r="A65" s="874"/>
      <c r="B65" s="527" t="s">
        <v>98</v>
      </c>
      <c r="C65" s="531">
        <v>5.9900000000000002E-2</v>
      </c>
      <c r="D65" s="531">
        <v>5.9900000000000002E-2</v>
      </c>
      <c r="E65" s="531">
        <v>5.9900000000000002E-2</v>
      </c>
      <c r="F65" s="531">
        <v>5.9900000000000002E-2</v>
      </c>
      <c r="G65" s="531">
        <v>5.9900000000000002E-2</v>
      </c>
      <c r="H65" s="532" t="s">
        <v>18</v>
      </c>
      <c r="I65" s="531">
        <v>5.9900000000000002E-2</v>
      </c>
      <c r="J65" s="532" t="s">
        <v>18</v>
      </c>
      <c r="K65" s="531"/>
      <c r="L65" s="531"/>
      <c r="M65" s="531"/>
      <c r="N65" s="531">
        <v>0.11600000000000001</v>
      </c>
      <c r="O65" s="531">
        <v>9.7000000000000003E-2</v>
      </c>
      <c r="Q65" s="521"/>
    </row>
    <row r="66" spans="1:17">
      <c r="A66" s="874"/>
      <c r="B66" s="527" t="s">
        <v>99</v>
      </c>
      <c r="C66" s="531">
        <v>5.9900000000000002E-2</v>
      </c>
      <c r="D66" s="531">
        <v>5.9900000000000002E-2</v>
      </c>
      <c r="E66" s="531">
        <v>5.9900000000000002E-2</v>
      </c>
      <c r="F66" s="531">
        <v>5.9900000000000002E-2</v>
      </c>
      <c r="G66" s="531">
        <v>5.9900000000000002E-2</v>
      </c>
      <c r="H66" s="532" t="s">
        <v>18</v>
      </c>
      <c r="I66" s="531">
        <v>5.9900000000000002E-2</v>
      </c>
      <c r="J66" s="532" t="s">
        <v>18</v>
      </c>
      <c r="K66" s="531"/>
      <c r="L66" s="531"/>
      <c r="M66" s="531"/>
      <c r="N66" s="531">
        <v>0.11600000000000001</v>
      </c>
      <c r="O66" s="531">
        <v>9.7000000000000003E-2</v>
      </c>
      <c r="Q66" s="521"/>
    </row>
    <row r="67" spans="1:17">
      <c r="A67" s="874"/>
      <c r="B67" s="527" t="s">
        <v>100</v>
      </c>
      <c r="C67" s="531">
        <v>5.9900000000000002E-2</v>
      </c>
      <c r="D67" s="531">
        <v>5.9900000000000002E-2</v>
      </c>
      <c r="E67" s="531">
        <v>5.9900000000000002E-2</v>
      </c>
      <c r="F67" s="531">
        <v>5.9900000000000002E-2</v>
      </c>
      <c r="G67" s="531">
        <v>5.9900000000000002E-2</v>
      </c>
      <c r="H67" s="532" t="s">
        <v>18</v>
      </c>
      <c r="I67" s="531">
        <v>5.9900000000000002E-2</v>
      </c>
      <c r="J67" s="532" t="s">
        <v>18</v>
      </c>
      <c r="K67" s="531"/>
      <c r="L67" s="531"/>
      <c r="M67" s="531"/>
      <c r="N67" s="531">
        <v>0.11600000000000001</v>
      </c>
      <c r="O67" s="531">
        <v>9.7000000000000003E-2</v>
      </c>
      <c r="Q67" s="521"/>
    </row>
    <row r="68" spans="1:17">
      <c r="A68" s="874"/>
      <c r="B68" s="527" t="s">
        <v>112</v>
      </c>
      <c r="C68" s="531">
        <v>5.9900000000000002E-2</v>
      </c>
      <c r="D68" s="531">
        <v>5.9900000000000002E-2</v>
      </c>
      <c r="E68" s="531">
        <v>5.9900000000000002E-2</v>
      </c>
      <c r="F68" s="531">
        <v>5.9900000000000002E-2</v>
      </c>
      <c r="G68" s="531">
        <v>5.9900000000000002E-2</v>
      </c>
      <c r="H68" s="532" t="s">
        <v>18</v>
      </c>
      <c r="I68" s="531">
        <v>5.9900000000000002E-2</v>
      </c>
      <c r="J68" s="532" t="s">
        <v>18</v>
      </c>
      <c r="K68" s="531"/>
      <c r="L68" s="531"/>
      <c r="M68" s="531"/>
      <c r="N68" s="531">
        <v>0.11600000000000001</v>
      </c>
      <c r="O68" s="531">
        <v>9.7000000000000003E-2</v>
      </c>
      <c r="Q68" s="521"/>
    </row>
    <row r="69" spans="1:17">
      <c r="A69" s="874"/>
      <c r="B69" s="527" t="s">
        <v>113</v>
      </c>
      <c r="C69" s="531">
        <v>5.9900000000000002E-2</v>
      </c>
      <c r="D69" s="531">
        <v>5.9900000000000002E-2</v>
      </c>
      <c r="E69" s="531">
        <v>5.9900000000000002E-2</v>
      </c>
      <c r="F69" s="531">
        <v>5.9900000000000002E-2</v>
      </c>
      <c r="G69" s="531">
        <v>5.9900000000000002E-2</v>
      </c>
      <c r="H69" s="532" t="s">
        <v>18</v>
      </c>
      <c r="I69" s="531">
        <v>5.9900000000000002E-2</v>
      </c>
      <c r="J69" s="532" t="s">
        <v>18</v>
      </c>
      <c r="K69" s="531"/>
      <c r="L69" s="531"/>
      <c r="M69" s="531"/>
      <c r="N69" s="531">
        <v>0.11600000000000001</v>
      </c>
      <c r="O69" s="531">
        <v>9.7000000000000003E-2</v>
      </c>
      <c r="Q69" s="521"/>
    </row>
    <row r="70" spans="1:17">
      <c r="A70" s="874"/>
      <c r="B70" s="527" t="s">
        <v>101</v>
      </c>
      <c r="C70" s="531">
        <v>5.9900000000000002E-2</v>
      </c>
      <c r="D70" s="531">
        <v>5.9900000000000002E-2</v>
      </c>
      <c r="E70" s="531">
        <v>5.9900000000000002E-2</v>
      </c>
      <c r="F70" s="531">
        <v>5.9900000000000002E-2</v>
      </c>
      <c r="G70" s="531">
        <v>5.9900000000000002E-2</v>
      </c>
      <c r="H70" s="532" t="s">
        <v>18</v>
      </c>
      <c r="I70" s="531">
        <v>5.9900000000000002E-2</v>
      </c>
      <c r="J70" s="532" t="s">
        <v>18</v>
      </c>
      <c r="K70" s="531"/>
      <c r="L70" s="531"/>
      <c r="M70" s="531"/>
      <c r="N70" s="531">
        <v>0.11600000000000001</v>
      </c>
      <c r="O70" s="531">
        <v>9.7000000000000003E-2</v>
      </c>
      <c r="Q70" s="521"/>
    </row>
    <row r="71" spans="1:17">
      <c r="A71" s="874"/>
      <c r="B71" s="527" t="s">
        <v>114</v>
      </c>
      <c r="C71" s="531">
        <v>5.9900000000000002E-2</v>
      </c>
      <c r="D71" s="531">
        <v>5.9900000000000002E-2</v>
      </c>
      <c r="E71" s="531">
        <v>5.9900000000000002E-2</v>
      </c>
      <c r="F71" s="531">
        <v>5.9900000000000002E-2</v>
      </c>
      <c r="G71" s="531">
        <v>5.9900000000000002E-2</v>
      </c>
      <c r="H71" s="532" t="s">
        <v>18</v>
      </c>
      <c r="I71" s="531">
        <v>5.9900000000000002E-2</v>
      </c>
      <c r="J71" s="532" t="s">
        <v>18</v>
      </c>
      <c r="K71" s="531"/>
      <c r="L71" s="531"/>
      <c r="M71" s="531"/>
      <c r="N71" s="531">
        <v>0.11600000000000001</v>
      </c>
      <c r="O71" s="531">
        <v>9.7000000000000003E-2</v>
      </c>
      <c r="Q71" s="521"/>
    </row>
    <row r="72" spans="1:17">
      <c r="A72" s="874"/>
      <c r="B72" s="527" t="s">
        <v>115</v>
      </c>
      <c r="C72" s="531">
        <v>5.9900000000000002E-2</v>
      </c>
      <c r="D72" s="531">
        <v>5.9900000000000002E-2</v>
      </c>
      <c r="E72" s="531">
        <v>5.9900000000000002E-2</v>
      </c>
      <c r="F72" s="531">
        <v>5.9900000000000002E-2</v>
      </c>
      <c r="G72" s="531">
        <v>5.9900000000000002E-2</v>
      </c>
      <c r="H72" s="532" t="s">
        <v>18</v>
      </c>
      <c r="I72" s="531">
        <v>5.9900000000000002E-2</v>
      </c>
      <c r="J72" s="532" t="s">
        <v>18</v>
      </c>
      <c r="K72" s="531"/>
      <c r="L72" s="531"/>
      <c r="M72" s="531"/>
      <c r="N72" s="531">
        <v>0.11600000000000001</v>
      </c>
      <c r="O72" s="531">
        <v>9.7000000000000003E-2</v>
      </c>
      <c r="Q72" s="521"/>
    </row>
    <row r="76" spans="1:17">
      <c r="C76" s="521">
        <v>5.99</v>
      </c>
      <c r="L76" s="521" t="s">
        <v>260</v>
      </c>
      <c r="O76" s="521">
        <v>7.23</v>
      </c>
      <c r="Q76" s="521">
        <v>6.98</v>
      </c>
    </row>
    <row r="77" spans="1:17">
      <c r="B77" s="536" t="s">
        <v>261</v>
      </c>
      <c r="C77" s="527" t="s">
        <v>127</v>
      </c>
      <c r="D77" s="527"/>
      <c r="E77" s="527"/>
      <c r="F77" s="527" t="s">
        <v>23</v>
      </c>
      <c r="G77" s="527" t="s">
        <v>126</v>
      </c>
      <c r="K77" s="536" t="s">
        <v>261</v>
      </c>
      <c r="O77" s="527" t="s">
        <v>127</v>
      </c>
      <c r="Q77" s="527" t="s">
        <v>127</v>
      </c>
    </row>
    <row r="78" spans="1:17">
      <c r="B78" s="83" t="s">
        <v>125</v>
      </c>
      <c r="C78" s="538">
        <v>0.15970999999999999</v>
      </c>
      <c r="D78" s="527"/>
      <c r="E78" s="527"/>
      <c r="F78" s="527">
        <v>0.26598402025704831</v>
      </c>
      <c r="G78" s="527">
        <v>0.18466353677621283</v>
      </c>
      <c r="K78" s="83" t="s">
        <v>125</v>
      </c>
      <c r="L78" s="521">
        <v>0.20169976438909501</v>
      </c>
      <c r="O78" s="527">
        <v>0.194602888</v>
      </c>
      <c r="Q78" s="538">
        <v>0.18750583196000001</v>
      </c>
    </row>
    <row r="79" spans="1:17">
      <c r="B79" s="83" t="s">
        <v>124</v>
      </c>
      <c r="C79" s="540">
        <v>0.12708549999999999</v>
      </c>
      <c r="G79" s="527">
        <v>0.14670534604227103</v>
      </c>
      <c r="K79" s="83" t="s">
        <v>124</v>
      </c>
      <c r="L79" s="539">
        <v>0.160139</v>
      </c>
      <c r="O79" s="527">
        <v>0.15455732799999999</v>
      </c>
      <c r="Q79" s="540">
        <v>0.14897440000000001</v>
      </c>
    </row>
    <row r="80" spans="1:17">
      <c r="B80" s="83" t="s">
        <v>120</v>
      </c>
      <c r="C80" s="537">
        <v>9.5033090000000001E-2</v>
      </c>
      <c r="D80" s="541"/>
      <c r="E80" s="542"/>
      <c r="G80" s="543">
        <v>0.10959752321981424</v>
      </c>
      <c r="K80" s="83" t="s">
        <v>120</v>
      </c>
      <c r="L80" s="521">
        <v>0.11949750000000001</v>
      </c>
      <c r="O80" s="527">
        <v>0.11537213</v>
      </c>
      <c r="Q80" s="537">
        <v>0.1112463214288</v>
      </c>
    </row>
    <row r="81" spans="2:17">
      <c r="B81" s="83" t="s">
        <v>121</v>
      </c>
      <c r="C81" s="521">
        <v>6.3589000000000007E-2</v>
      </c>
      <c r="D81" s="527"/>
      <c r="G81" s="543">
        <v>7.3225219073631512E-2</v>
      </c>
      <c r="K81" s="83" t="s">
        <v>121</v>
      </c>
      <c r="L81" s="539">
        <v>7.9769999999999994E-2</v>
      </c>
      <c r="O81" s="527">
        <v>7.7046605000000004E-2</v>
      </c>
      <c r="Q81" s="544">
        <v>7.4324310000000005E-2</v>
      </c>
    </row>
    <row r="82" spans="2:17">
      <c r="B82" s="83" t="s">
        <v>122</v>
      </c>
      <c r="C82" s="537">
        <v>4.8093750641866002E-2</v>
      </c>
      <c r="G82" s="521">
        <v>5.533900860569229E-2</v>
      </c>
      <c r="K82" s="83"/>
      <c r="L82" s="539"/>
      <c r="O82" s="527">
        <v>5.8214812999999997E-2</v>
      </c>
      <c r="Q82" s="537">
        <v>5.6166217599100003E-2</v>
      </c>
    </row>
    <row r="83" spans="2:17">
      <c r="B83" s="83" t="s">
        <v>123</v>
      </c>
      <c r="C83" s="537">
        <v>3.2745000000000003E-2</v>
      </c>
      <c r="G83" s="543">
        <v>3.7659574468085107E-2</v>
      </c>
      <c r="K83" s="83"/>
      <c r="O83" s="527">
        <v>3.9596152000000003E-2</v>
      </c>
      <c r="Q83" s="537">
        <v>3.8210316456600002E-2</v>
      </c>
    </row>
    <row r="87" spans="2:17" ht="26.5" customHeight="1"/>
    <row r="88" spans="2:17" ht="26.5" customHeight="1">
      <c r="D88" s="535" t="s">
        <v>479</v>
      </c>
    </row>
    <row r="89" spans="2:17" ht="26.5" customHeight="1">
      <c r="B89" s="592"/>
      <c r="C89" s="83" t="s">
        <v>80</v>
      </c>
      <c r="D89" s="591">
        <v>8.0000000000000002E-3</v>
      </c>
      <c r="E89" s="537">
        <v>3.2745000000000003E-2</v>
      </c>
    </row>
  </sheetData>
  <autoFilter ref="D1:E6" xr:uid="{00000000-0001-0000-0900-000000000000}"/>
  <mergeCells count="19">
    <mergeCell ref="P17:S17"/>
    <mergeCell ref="L17:M17"/>
    <mergeCell ref="C17:I17"/>
    <mergeCell ref="J17:K17"/>
    <mergeCell ref="A46:A49"/>
    <mergeCell ref="A63:A72"/>
    <mergeCell ref="A37:A39"/>
    <mergeCell ref="A24:A27"/>
    <mergeCell ref="A61:A62"/>
    <mergeCell ref="A19:A20"/>
    <mergeCell ref="A50:A52"/>
    <mergeCell ref="A53:A54"/>
    <mergeCell ref="A55:A56"/>
    <mergeCell ref="A31:A32"/>
    <mergeCell ref="A28:A30"/>
    <mergeCell ref="A21:A23"/>
    <mergeCell ref="A33:A36"/>
    <mergeCell ref="A57:A60"/>
    <mergeCell ref="A40:A45"/>
  </mergeCells>
  <phoneticPr fontId="1" type="noConversion"/>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E0154A-6B67-4010-9705-26224E248BCB}">
  <sheetPr>
    <tabColor theme="5" tint="0.79998168889431442"/>
  </sheetPr>
  <dimension ref="A1:U22"/>
  <sheetViews>
    <sheetView zoomScale="60" zoomScaleNormal="60" workbookViewId="0">
      <pane ySplit="12" topLeftCell="A15" activePane="bottomLeft" state="frozen"/>
      <selection pane="bottomLeft" activeCell="M2" sqref="M2:M3"/>
    </sheetView>
  </sheetViews>
  <sheetFormatPr defaultColWidth="8.75" defaultRowHeight="16.5"/>
  <cols>
    <col min="1" max="1" width="21.9140625" style="23" customWidth="1"/>
    <col min="2" max="2" width="17.33203125" style="23" customWidth="1"/>
    <col min="3" max="3" width="23.33203125" style="23" customWidth="1"/>
    <col min="4" max="4" width="18.9140625" style="23" customWidth="1"/>
    <col min="5" max="5" width="23" style="23" customWidth="1"/>
    <col min="6" max="6" width="20" style="23" customWidth="1"/>
    <col min="7" max="7" width="17.33203125" style="23" customWidth="1"/>
    <col min="8" max="8" width="20.08203125" style="23" customWidth="1"/>
    <col min="9" max="10" width="17.08203125" style="23" hidden="1" customWidth="1"/>
    <col min="11" max="11" width="17.75" style="23" customWidth="1"/>
    <col min="12" max="12" width="16.75" style="23" customWidth="1"/>
    <col min="13" max="13" width="73.08203125" style="23" customWidth="1"/>
    <col min="14" max="14" width="2.33203125" style="23" customWidth="1"/>
    <col min="15" max="15" width="23.08203125" style="23" customWidth="1"/>
    <col min="16" max="16" width="19.08203125" style="23" customWidth="1"/>
    <col min="17" max="17" width="11.75" style="23" customWidth="1"/>
    <col min="18" max="18" width="13.4140625" style="23" customWidth="1"/>
    <col min="19" max="19" width="7.75" style="23" customWidth="1"/>
    <col min="20" max="20" width="16.08203125" style="23" customWidth="1"/>
    <col min="21" max="21" width="2" style="23" customWidth="1"/>
    <col min="22" max="16384" width="8.75" style="23"/>
  </cols>
  <sheetData>
    <row r="1" spans="1:21" ht="7.5" customHeight="1">
      <c r="S1" s="24"/>
      <c r="T1" s="24"/>
    </row>
    <row r="2" spans="1:21" ht="21.65" customHeight="1">
      <c r="A2" s="25" t="s">
        <v>335</v>
      </c>
      <c r="E2" s="25"/>
      <c r="M2" s="810" t="s">
        <v>286</v>
      </c>
      <c r="S2" s="24"/>
      <c r="T2" s="24"/>
    </row>
    <row r="3" spans="1:21" ht="30" customHeight="1">
      <c r="A3" s="26" t="s">
        <v>45</v>
      </c>
      <c r="B3" s="798" t="s">
        <v>575</v>
      </c>
      <c r="C3" s="798"/>
      <c r="D3" s="264"/>
      <c r="E3" s="626"/>
      <c r="F3" s="627"/>
      <c r="G3" s="39"/>
      <c r="M3" s="810"/>
      <c r="S3" s="24"/>
      <c r="T3" s="24"/>
    </row>
    <row r="4" spans="1:21" ht="28" customHeight="1">
      <c r="A4" s="77" t="s">
        <v>79</v>
      </c>
      <c r="B4" s="799" t="s">
        <v>410</v>
      </c>
      <c r="C4" s="800"/>
      <c r="E4" s="628"/>
      <c r="F4" s="627"/>
      <c r="G4" s="39"/>
      <c r="H4" s="809" t="s">
        <v>596</v>
      </c>
      <c r="I4" s="809"/>
      <c r="J4" s="809"/>
      <c r="K4" s="809"/>
      <c r="L4" s="809"/>
      <c r="M4" s="809"/>
      <c r="N4" s="28"/>
      <c r="T4" s="27"/>
    </row>
    <row r="5" spans="1:21" ht="22.5" customHeight="1">
      <c r="A5" s="30" t="s">
        <v>287</v>
      </c>
      <c r="B5" s="801">
        <f>VLOOKUP(B4,'厂贴车型明细&amp;贷款金额说明'!C:D,2,0)</f>
        <v>196900</v>
      </c>
      <c r="C5" s="801"/>
      <c r="D5" s="31"/>
      <c r="E5" s="629"/>
      <c r="F5" s="630"/>
      <c r="G5" s="39"/>
      <c r="H5" s="809"/>
      <c r="I5" s="809"/>
      <c r="J5" s="809"/>
      <c r="K5" s="809"/>
      <c r="L5" s="809"/>
      <c r="M5" s="809"/>
      <c r="N5" s="32"/>
      <c r="T5" s="27"/>
    </row>
    <row r="6" spans="1:21" ht="27.5" customHeight="1">
      <c r="A6" s="30" t="s">
        <v>288</v>
      </c>
      <c r="B6" s="798">
        <v>186900</v>
      </c>
      <c r="C6" s="798"/>
      <c r="D6" s="35"/>
      <c r="E6" s="825"/>
      <c r="F6" s="825"/>
      <c r="G6" s="39"/>
      <c r="H6" s="809"/>
      <c r="I6" s="809"/>
      <c r="J6" s="809"/>
      <c r="K6" s="809"/>
      <c r="L6" s="809"/>
      <c r="M6" s="809"/>
      <c r="N6" s="36"/>
    </row>
    <row r="7" spans="1:21" ht="27.5" customHeight="1">
      <c r="A7" s="30" t="s">
        <v>289</v>
      </c>
      <c r="B7" s="826">
        <v>0</v>
      </c>
      <c r="C7" s="827"/>
      <c r="D7" s="35"/>
      <c r="E7" s="625"/>
      <c r="F7" s="625"/>
      <c r="G7" s="39"/>
      <c r="H7" s="809"/>
      <c r="I7" s="809"/>
      <c r="J7" s="809"/>
      <c r="K7" s="809"/>
      <c r="L7" s="809"/>
      <c r="M7" s="809"/>
      <c r="N7" s="36"/>
    </row>
    <row r="8" spans="1:21" ht="29" customHeight="1">
      <c r="A8" s="45" t="s">
        <v>514</v>
      </c>
      <c r="B8" s="828">
        <f>B6+B7</f>
        <v>186900</v>
      </c>
      <c r="C8" s="801"/>
      <c r="D8" s="342" t="s">
        <v>50</v>
      </c>
      <c r="E8" s="632">
        <f>B5*115%</f>
        <v>226434.99999999997</v>
      </c>
      <c r="F8" s="631"/>
      <c r="G8" s="39"/>
      <c r="H8" s="809"/>
      <c r="I8" s="809"/>
      <c r="J8" s="809"/>
      <c r="K8" s="809"/>
      <c r="L8" s="809"/>
      <c r="M8" s="809"/>
    </row>
    <row r="9" spans="1:21" s="24" customFormat="1" ht="31" customHeight="1">
      <c r="A9" s="45" t="s">
        <v>245</v>
      </c>
      <c r="B9" s="826">
        <v>90000</v>
      </c>
      <c r="C9" s="827"/>
      <c r="D9" s="612"/>
      <c r="E9" s="614"/>
      <c r="F9" s="620"/>
      <c r="G9" s="23"/>
      <c r="H9" s="809"/>
      <c r="I9" s="809"/>
      <c r="J9" s="809"/>
      <c r="K9" s="809"/>
      <c r="L9" s="809"/>
      <c r="M9" s="809"/>
      <c r="N9" s="46"/>
      <c r="O9" s="23"/>
      <c r="P9" s="23"/>
      <c r="Q9" s="23"/>
      <c r="R9" s="23"/>
    </row>
    <row r="10" spans="1:21" ht="33" customHeight="1">
      <c r="A10" s="47" t="s">
        <v>53</v>
      </c>
      <c r="B10" s="805">
        <v>0</v>
      </c>
      <c r="C10" s="805"/>
      <c r="D10" s="803" t="s">
        <v>130</v>
      </c>
      <c r="E10" s="804"/>
      <c r="F10" s="671"/>
      <c r="G10" s="671"/>
      <c r="H10" s="671"/>
      <c r="I10" s="671"/>
      <c r="J10" s="671"/>
      <c r="K10" s="671"/>
      <c r="L10" s="671"/>
      <c r="M10" s="671"/>
      <c r="N10" s="49"/>
    </row>
    <row r="11" spans="1:21" ht="16.5" customHeight="1">
      <c r="B11" s="310"/>
      <c r="E11" s="493"/>
      <c r="U11" s="51" t="s">
        <v>56</v>
      </c>
    </row>
    <row r="12" spans="1:21" ht="22.5" customHeight="1" thickBot="1">
      <c r="A12" s="52" t="s">
        <v>57</v>
      </c>
      <c r="B12" s="53"/>
      <c r="C12" s="54"/>
    </row>
    <row r="13" spans="1:21" ht="27" customHeight="1" thickTop="1">
      <c r="A13" s="407" t="s">
        <v>361</v>
      </c>
      <c r="B13" s="409" t="s">
        <v>60</v>
      </c>
      <c r="C13" s="440" t="s">
        <v>59</v>
      </c>
      <c r="D13" s="342"/>
      <c r="E13" s="344"/>
      <c r="H13" s="271"/>
      <c r="I13" s="311"/>
      <c r="J13" s="264"/>
      <c r="K13" s="367"/>
      <c r="L13" s="310"/>
      <c r="M13" s="27"/>
      <c r="N13" s="27"/>
    </row>
    <row r="14" spans="1:21" ht="22" customHeight="1">
      <c r="A14" s="837" t="s">
        <v>371</v>
      </c>
      <c r="B14" s="362">
        <f>C14/B8</f>
        <v>0.5184590690208668</v>
      </c>
      <c r="C14" s="437">
        <f>B8-B9</f>
        <v>96900</v>
      </c>
      <c r="D14" s="310" t="s">
        <v>555</v>
      </c>
      <c r="E14" s="310"/>
      <c r="F14" s="264"/>
      <c r="G14" s="438"/>
      <c r="H14" s="337"/>
      <c r="I14" s="438"/>
      <c r="J14" s="325"/>
      <c r="K14" s="325"/>
      <c r="L14" s="438"/>
      <c r="M14" s="92"/>
      <c r="N14" s="27"/>
    </row>
    <row r="15" spans="1:21" ht="2.5" customHeight="1">
      <c r="A15" s="837"/>
      <c r="B15" s="425"/>
      <c r="C15" s="439"/>
      <c r="D15" s="339"/>
      <c r="E15" s="339"/>
      <c r="F15" s="339"/>
      <c r="G15" s="339"/>
      <c r="H15" s="339"/>
      <c r="I15" s="339"/>
      <c r="J15" s="339"/>
      <c r="K15" s="339"/>
      <c r="L15" s="339"/>
      <c r="M15" s="426"/>
    </row>
    <row r="16" spans="1:21" ht="37" customHeight="1">
      <c r="A16" s="837"/>
      <c r="B16" s="77" t="s">
        <v>61</v>
      </c>
      <c r="C16" s="314" t="s">
        <v>234</v>
      </c>
      <c r="D16" s="316" t="s">
        <v>344</v>
      </c>
      <c r="E16" s="316" t="s">
        <v>276</v>
      </c>
      <c r="F16" s="316" t="s">
        <v>277</v>
      </c>
      <c r="G16" s="88" t="s">
        <v>306</v>
      </c>
      <c r="H16" s="462" t="s">
        <v>64</v>
      </c>
      <c r="I16" s="317" t="s">
        <v>266</v>
      </c>
      <c r="J16" s="317" t="s">
        <v>265</v>
      </c>
      <c r="K16" s="494" t="s">
        <v>407</v>
      </c>
      <c r="L16" s="494" t="s">
        <v>595</v>
      </c>
      <c r="M16" s="58" t="s">
        <v>440</v>
      </c>
      <c r="N16" s="59"/>
      <c r="O16" s="60"/>
      <c r="P16" s="60" t="s">
        <v>378</v>
      </c>
    </row>
    <row r="17" spans="1:20" ht="31" customHeight="1">
      <c r="A17" s="837"/>
      <c r="B17" s="427" t="s">
        <v>38</v>
      </c>
      <c r="C17" s="282">
        <f>ROUNDUP(PMT(VLOOKUP(B4,'参数-车系车型 利率'!B:I,2,0)/12,60,-$B$9)-(H17+B10)/60,2)</f>
        <v>1689.33</v>
      </c>
      <c r="D17" s="561">
        <f>C17*60-B9</f>
        <v>11359.799999999988</v>
      </c>
      <c r="E17" s="335">
        <f>RATE(60,-C17,(B9))*12</f>
        <v>4.7793986288736247E-2</v>
      </c>
      <c r="F17" s="335">
        <f>D17/(B9)/5</f>
        <v>2.5243999999999971E-2</v>
      </c>
      <c r="G17" s="335">
        <f>D17/(B9)</f>
        <v>0.12621999999999986</v>
      </c>
      <c r="H17" s="617">
        <f>MIN($I$17,J17)</f>
        <v>3012.5699999999997</v>
      </c>
      <c r="I17" s="819">
        <f>VLOOKUP($B$4,'厂贴车型明细&amp;贷款金额说明'!C:E,3,0)</f>
        <v>3012.5699999999997</v>
      </c>
      <c r="J17" s="619">
        <f>$B$9*VLOOKUP(B17,'参数-车系车型 利率'!$B$78:$C$83,2,0)</f>
        <v>14373.9</v>
      </c>
      <c r="K17" s="321">
        <f>ROUNDUP(I17/VLOOKUP(B17,'参数-车系车型 利率'!B78:C83,2,0),0)-1</f>
        <v>18862</v>
      </c>
      <c r="L17" s="428">
        <f>VLOOKUP($B$4,'厂贴车型明细&amp;贷款金额说明'!C:K,9,0)</f>
        <v>70000</v>
      </c>
      <c r="M17" s="816" t="str">
        <f>VLOOKUP(B4,'参数-方案配置'!C:H,6,0)</f>
        <v xml:space="preserve">企业申请：厂贴_5.99贴息 新公牌易贷/个体工商户  18期/24-60期 
企业商用：厂贴_5.99贴息 营运租赁  18期/24-36期 </v>
      </c>
      <c r="N17" s="59"/>
      <c r="O17" s="65" t="s">
        <v>67</v>
      </c>
      <c r="P17" s="787">
        <v>24</v>
      </c>
      <c r="Q17" s="787"/>
      <c r="R17" s="456" t="s">
        <v>370</v>
      </c>
      <c r="S17" s="66"/>
      <c r="T17" s="67"/>
    </row>
    <row r="18" spans="1:20" ht="31" customHeight="1">
      <c r="A18" s="837"/>
      <c r="B18" s="427" t="s">
        <v>39</v>
      </c>
      <c r="C18" s="282">
        <f>ROUNDUP(PMT(VLOOKUP(B4,'参数-车系车型 利率'!B:I,3,0)/12,48,-$B$9)-(H18+B10)/48,2)</f>
        <v>2050.48</v>
      </c>
      <c r="D18" s="561">
        <f>C18*48-B9</f>
        <v>8423.0400000000081</v>
      </c>
      <c r="E18" s="335">
        <f>RATE(48,-C18,(B9))*12</f>
        <v>4.4547338609886307E-2</v>
      </c>
      <c r="F18" s="335">
        <f>D18/(B9)/4</f>
        <v>2.3397333333333357E-2</v>
      </c>
      <c r="G18" s="335">
        <f>D18/(B9)</f>
        <v>9.3589333333333427E-2</v>
      </c>
      <c r="H18" s="617">
        <f>MIN($I$17,J18)</f>
        <v>3012.5699999999997</v>
      </c>
      <c r="I18" s="820"/>
      <c r="J18" s="619">
        <f>$B$9*VLOOKUP(B18,'参数-车系车型 利率'!$B$78:$C$83,2,0)</f>
        <v>11437.695</v>
      </c>
      <c r="K18" s="321">
        <f>ROUNDUP(I17/VLOOKUP(B18,'参数-车系车型 利率'!B78:C83,2,0),0)-1</f>
        <v>23705</v>
      </c>
      <c r="L18" s="428">
        <f>VLOOKUP($B$4,'厂贴车型明细&amp;贷款金额说明'!C:K,8,0)</f>
        <v>70000</v>
      </c>
      <c r="M18" s="817"/>
      <c r="N18" s="59"/>
      <c r="O18" s="65" t="s">
        <v>69</v>
      </c>
      <c r="P18" s="795">
        <f>B9-(C17*P17-P20)</f>
        <v>56552.379737190575</v>
      </c>
      <c r="Q18" s="795"/>
      <c r="R18" s="68"/>
      <c r="S18" s="66"/>
      <c r="T18" s="67"/>
    </row>
    <row r="19" spans="1:20" ht="31" customHeight="1">
      <c r="A19" s="837"/>
      <c r="B19" s="427" t="s">
        <v>40</v>
      </c>
      <c r="C19" s="283">
        <f>ROUNDUP(PMT(VLOOKUP(B4,'参数-车系车型 利率'!B:I,4,0)/12,36,-$B$9)-(H19+B10)/36,2)</f>
        <v>2653.8900000000003</v>
      </c>
      <c r="D19" s="562">
        <f>C19*36-B9</f>
        <v>5540.0400000000081</v>
      </c>
      <c r="E19" s="335">
        <f>RATE(36,-C19,(B9))*12</f>
        <v>3.91832631370434E-2</v>
      </c>
      <c r="F19" s="335">
        <f>D19/(B9)/3</f>
        <v>2.0518666666666695E-2</v>
      </c>
      <c r="G19" s="335">
        <f>D19/(B9)</f>
        <v>6.155600000000009E-2</v>
      </c>
      <c r="H19" s="617">
        <f>MIN($I$17,J19)</f>
        <v>3012.5699999999997</v>
      </c>
      <c r="I19" s="820"/>
      <c r="J19" s="619">
        <f>$B$9*VLOOKUP(B19,'参数-车系车型 利率'!$B$78:$C$83,2,0)</f>
        <v>8552.9781000000003</v>
      </c>
      <c r="K19" s="321">
        <f>ROUNDUP(I17/VLOOKUP(B19,'参数-车系车型 利率'!B78:C83,2,0),0)-1</f>
        <v>31700</v>
      </c>
      <c r="L19" s="428">
        <f>VLOOKUP($B$4,'厂贴车型明细&amp;贷款金额说明'!C:K,7,0)</f>
        <v>70000</v>
      </c>
      <c r="M19" s="817"/>
      <c r="N19" s="59"/>
      <c r="O19" s="69" t="s">
        <v>70</v>
      </c>
      <c r="P19" s="822">
        <f>D17-P20</f>
        <v>4263.5002628094153</v>
      </c>
      <c r="Q19" s="822"/>
      <c r="R19" s="68"/>
      <c r="S19" s="66"/>
      <c r="T19" s="67"/>
    </row>
    <row r="20" spans="1:20" ht="31" customHeight="1">
      <c r="A20" s="837"/>
      <c r="B20" s="427" t="s">
        <v>41</v>
      </c>
      <c r="C20" s="283">
        <f>ROUNDUP(PMT(VLOOKUP(B4,'参数-车系车型 利率'!B:I,5,0)/12,24,-$B$9)-(H20+B10)/24,2)</f>
        <v>3862.9300000000003</v>
      </c>
      <c r="D20" s="562">
        <f>C20*24-B9</f>
        <v>2710.320000000007</v>
      </c>
      <c r="E20" s="335">
        <f>RATE(24,-C20,(B9))*12</f>
        <v>2.8648231946243493E-2</v>
      </c>
      <c r="F20" s="335">
        <f>D20/(B9)/2</f>
        <v>1.5057333333333372E-2</v>
      </c>
      <c r="G20" s="335">
        <f>D20/B9</f>
        <v>3.0114666666666744E-2</v>
      </c>
      <c r="H20" s="617">
        <f>MIN($I$17,J20)</f>
        <v>3012.5699999999997</v>
      </c>
      <c r="I20" s="820"/>
      <c r="J20" s="619">
        <f>$B$9*VLOOKUP(B20,'参数-车系车型 利率'!$B$78:$C$83,2,0)</f>
        <v>5723.01</v>
      </c>
      <c r="K20" s="321">
        <f>ROUNDUP(I17/VLOOKUP(B20,'参数-车系车型 利率'!B78:C83,2,0),0)-1</f>
        <v>47375</v>
      </c>
      <c r="L20" s="428">
        <f>VLOOKUP($B$4,'厂贴车型明细&amp;贷款金额说明'!C:K,6,0)</f>
        <v>70000</v>
      </c>
      <c r="M20" s="817"/>
      <c r="N20" s="70"/>
      <c r="O20" s="443" t="s">
        <v>71</v>
      </c>
      <c r="P20" s="838">
        <f>(B9*(E17/12)-C17)*((1+(E17/12))^(P17)-1)/(E17/12)+(C17)*P17</f>
        <v>7096.2997371905731</v>
      </c>
      <c r="Q20" s="838"/>
      <c r="R20" s="72"/>
      <c r="S20" s="72"/>
      <c r="T20" s="72"/>
    </row>
    <row r="21" spans="1:20" ht="31" customHeight="1">
      <c r="A21" s="837"/>
      <c r="B21" s="77" t="s">
        <v>42</v>
      </c>
      <c r="C21" s="283">
        <f>ROUNDUP(PMT(VLOOKUP(B4,'参数-车系车型 利率'!B:I,6,0)/12,18,-$B$9)-(H21+B10)/18,2)</f>
        <v>5073.09</v>
      </c>
      <c r="D21" s="562">
        <f>C21*18-B9</f>
        <v>1315.6199999999953</v>
      </c>
      <c r="E21" s="335">
        <f>RATE(18,-C21,(B9))*12</f>
        <v>1.8385095862256666E-2</v>
      </c>
      <c r="F21" s="335">
        <f>D21/(B9)/1.5</f>
        <v>9.7453333333332986E-3</v>
      </c>
      <c r="G21" s="335">
        <f>D21/B9</f>
        <v>1.4617999999999949E-2</v>
      </c>
      <c r="H21" s="617">
        <f t="shared" ref="H21" si="0">MIN($I$17,J21)</f>
        <v>3012.5699999999997</v>
      </c>
      <c r="I21" s="821"/>
      <c r="J21" s="619">
        <f>$B$9*VLOOKUP(B21,'参数-车系车型 利率'!$B$78:$C$83,2,0)</f>
        <v>4328.4375577679402</v>
      </c>
      <c r="K21" s="321">
        <f>ROUNDUP(I17/VLOOKUP(B21,'参数-车系车型 利率'!B78:C83,2,0),0)-1</f>
        <v>62639</v>
      </c>
      <c r="L21" s="428">
        <f>VLOOKUP($B$4,'厂贴车型明细&amp;贷款金额说明'!C:K,5,0)</f>
        <v>74850</v>
      </c>
      <c r="M21" s="818"/>
      <c r="N21" s="70"/>
      <c r="O21" s="72"/>
      <c r="P21" s="72"/>
      <c r="Q21" s="72"/>
      <c r="R21" s="72"/>
      <c r="S21" s="72"/>
      <c r="T21" s="72"/>
    </row>
    <row r="22" spans="1:20" ht="46.5" customHeight="1">
      <c r="A22" s="837"/>
      <c r="B22" s="77" t="s">
        <v>43</v>
      </c>
      <c r="C22" s="282" t="e">
        <f>ROUNDUP(PMT(VLOOKUP(B4,'参数-车系车型 利率'!B:I,7,0)/12,12,-$B$9)-(H22+B10)/12,2)</f>
        <v>#VALUE!</v>
      </c>
      <c r="D22" s="561" t="e">
        <f>C22*12-B9</f>
        <v>#VALUE!</v>
      </c>
      <c r="E22" s="621" t="e">
        <f>RATE(12,-C22,B9)*12</f>
        <v>#VALUE!</v>
      </c>
      <c r="F22" s="621" t="e">
        <f>D22/$B$9/1</f>
        <v>#VALUE!</v>
      </c>
      <c r="G22" s="621" t="e">
        <f>D22/$B$9</f>
        <v>#VALUE!</v>
      </c>
      <c r="H22" s="622" t="e">
        <f>MIN($I$22,J22)</f>
        <v>#N/A</v>
      </c>
      <c r="I22" s="619" t="e">
        <f>B5*(VLOOKUP(B3,'参数-车系车型 利率'!C89:D89,2,0))</f>
        <v>#N/A</v>
      </c>
      <c r="J22" s="619" t="e">
        <f>$B$9*VLOOKUP(B3,'参数-车系车型 利率'!C89:E89,3,0)</f>
        <v>#N/A</v>
      </c>
      <c r="K22" s="321" t="e">
        <f>ROUNDUP(I22/VLOOKUP(B3,'参数-车系车型 利率'!C89:E89,3,0),0)-1</f>
        <v>#N/A</v>
      </c>
      <c r="L22" s="428" t="str">
        <f>VLOOKUP($B$4,'厂贴车型明细&amp;贷款金额说明'!C:K,4,0)</f>
        <v>无方案</v>
      </c>
      <c r="M22" s="618" t="str">
        <f>VLOOKUP(B4,'参数-方案配置'!C:L,7,0)</f>
        <v>无方案</v>
      </c>
      <c r="N22" s="70"/>
      <c r="O22" s="72"/>
      <c r="T22" s="39"/>
    </row>
  </sheetData>
  <sheetProtection algorithmName="SHA-512" hashValue="ZSLVtKiROkbTX6czS4RyGlzMCTM2q/XAKgT41GaamgYYPmgylpRfJ6hxmzC1PZBNDzZIvzh0fBqj4ga48X6kYQ==" saltValue="WjHyO7ockcGrPYUnhy4Xbg==" spinCount="100000" sheet="1" objects="1" scenarios="1"/>
  <mergeCells count="19">
    <mergeCell ref="B3:C3"/>
    <mergeCell ref="B4:C4"/>
    <mergeCell ref="H4:M9"/>
    <mergeCell ref="B5:C5"/>
    <mergeCell ref="B6:C6"/>
    <mergeCell ref="E6:F6"/>
    <mergeCell ref="B8:C8"/>
    <mergeCell ref="B7:C7"/>
    <mergeCell ref="B9:C9"/>
    <mergeCell ref="P17:Q17"/>
    <mergeCell ref="P18:Q18"/>
    <mergeCell ref="P19:Q19"/>
    <mergeCell ref="P20:Q20"/>
    <mergeCell ref="M2:M3"/>
    <mergeCell ref="B10:C10"/>
    <mergeCell ref="D10:E10"/>
    <mergeCell ref="A14:A22"/>
    <mergeCell ref="I17:I21"/>
    <mergeCell ref="M17:M21"/>
  </mergeCells>
  <phoneticPr fontId="1" type="noConversion"/>
  <conditionalFormatting sqref="B11">
    <cfRule type="expression" dxfId="149" priority="12">
      <formula>$B$9&lt;30%</formula>
    </cfRule>
  </conditionalFormatting>
  <conditionalFormatting sqref="B17:G17">
    <cfRule type="expression" dxfId="148" priority="28">
      <formula>$E$17&lt;-0.001%</formula>
    </cfRule>
    <cfRule type="expression" dxfId="147" priority="27">
      <formula>$B$9&lt;$L$17</formula>
    </cfRule>
  </conditionalFormatting>
  <conditionalFormatting sqref="B18:G18">
    <cfRule type="expression" dxfId="146" priority="21">
      <formula>$B$9&lt;$L$18</formula>
    </cfRule>
    <cfRule type="expression" dxfId="145" priority="22">
      <formula>$E$18&lt;-0.001%</formula>
    </cfRule>
  </conditionalFormatting>
  <conditionalFormatting sqref="B19:G19">
    <cfRule type="expression" dxfId="144" priority="24">
      <formula>$E$19&lt;-0.001%</formula>
    </cfRule>
    <cfRule type="expression" dxfId="143" priority="23">
      <formula>$B$9&lt;$L$19</formula>
    </cfRule>
  </conditionalFormatting>
  <conditionalFormatting sqref="B20:G20">
    <cfRule type="expression" dxfId="142" priority="26">
      <formula>$E$20&lt;-0.001%</formula>
    </cfRule>
    <cfRule type="expression" dxfId="141" priority="25">
      <formula>$B$9&lt;$L$20</formula>
    </cfRule>
  </conditionalFormatting>
  <conditionalFormatting sqref="B21:G21">
    <cfRule type="expression" dxfId="140" priority="19">
      <formula>$B$9&lt;$L$21</formula>
    </cfRule>
    <cfRule type="expression" dxfId="139" priority="20">
      <formula>$E$21&lt;-0.001%</formula>
    </cfRule>
  </conditionalFormatting>
  <conditionalFormatting sqref="B22:G22">
    <cfRule type="expression" dxfId="138" priority="17">
      <formula>$B$9&lt;$L$22</formula>
    </cfRule>
    <cfRule type="expression" dxfId="137" priority="18">
      <formula>$E$22&lt;-0.01%</formula>
    </cfRule>
  </conditionalFormatting>
  <conditionalFormatting sqref="C14">
    <cfRule type="expression" dxfId="136" priority="2">
      <formula>$C$15&lt;$E$14</formula>
    </cfRule>
  </conditionalFormatting>
  <conditionalFormatting sqref="D3">
    <cfRule type="expression" dxfId="135" priority="29">
      <formula>$B$3="新君威"</formula>
    </cfRule>
  </conditionalFormatting>
  <conditionalFormatting sqref="D9">
    <cfRule type="expression" dxfId="134" priority="11">
      <formula>$B$9&lt;$D$9</formula>
    </cfRule>
  </conditionalFormatting>
  <conditionalFormatting sqref="D10">
    <cfRule type="expression" dxfId="133" priority="32">
      <formula>$B$10&gt;0</formula>
    </cfRule>
  </conditionalFormatting>
  <conditionalFormatting sqref="D14">
    <cfRule type="expression" dxfId="132" priority="3">
      <formula>$B$14&lt;30%</formula>
    </cfRule>
  </conditionalFormatting>
  <conditionalFormatting sqref="D8:E8">
    <cfRule type="expression" dxfId="131" priority="4">
      <formula>$B$8&gt;$E$8</formula>
    </cfRule>
  </conditionalFormatting>
  <conditionalFormatting sqref="D13:E13">
    <cfRule type="expression" dxfId="130" priority="1">
      <formula>$B$15&lt;$E$14</formula>
    </cfRule>
  </conditionalFormatting>
  <conditionalFormatting sqref="E6:F7">
    <cfRule type="expression" dxfId="129" priority="10">
      <formula>$F$5&lt;20%</formula>
    </cfRule>
  </conditionalFormatting>
  <conditionalFormatting sqref="E9:F9">
    <cfRule type="expression" dxfId="128" priority="5">
      <formula>$F$8&gt;$F$9</formula>
    </cfRule>
  </conditionalFormatting>
  <conditionalFormatting sqref="F8">
    <cfRule type="expression" dxfId="127" priority="9">
      <formula>$C$14&lt;$F$13</formula>
    </cfRule>
  </conditionalFormatting>
  <conditionalFormatting sqref="K17">
    <cfRule type="cellIs" dxfId="126" priority="35" operator="greaterThanOrEqual">
      <formula>$L$17</formula>
    </cfRule>
  </conditionalFormatting>
  <conditionalFormatting sqref="K18">
    <cfRule type="cellIs" dxfId="125" priority="34" operator="greaterThanOrEqual">
      <formula>$L$18</formula>
    </cfRule>
  </conditionalFormatting>
  <conditionalFormatting sqref="K19">
    <cfRule type="cellIs" dxfId="124" priority="33" operator="greaterThanOrEqual">
      <formula>$L$19</formula>
    </cfRule>
  </conditionalFormatting>
  <conditionalFormatting sqref="K20">
    <cfRule type="cellIs" dxfId="123" priority="31" operator="greaterThanOrEqual">
      <formula>$L$20</formula>
    </cfRule>
  </conditionalFormatting>
  <conditionalFormatting sqref="K21">
    <cfRule type="cellIs" dxfId="122" priority="30" operator="greaterThanOrEqual">
      <formula>$L$21</formula>
    </cfRule>
  </conditionalFormatting>
  <conditionalFormatting sqref="K22">
    <cfRule type="cellIs" dxfId="121" priority="14" operator="greaterThanOrEqual">
      <formula>$L$22</formula>
    </cfRule>
  </conditionalFormatting>
  <conditionalFormatting sqref="L17">
    <cfRule type="expression" dxfId="120" priority="8">
      <formula>$B$9&lt;$L$17</formula>
    </cfRule>
  </conditionalFormatting>
  <conditionalFormatting sqref="L18">
    <cfRule type="expression" dxfId="119" priority="7">
      <formula>$B$9&lt;$L$18</formula>
    </cfRule>
  </conditionalFormatting>
  <conditionalFormatting sqref="L19">
    <cfRule type="expression" dxfId="118" priority="37">
      <formula>$B$9&lt;$L$19</formula>
    </cfRule>
  </conditionalFormatting>
  <conditionalFormatting sqref="L20">
    <cfRule type="expression" dxfId="117" priority="38">
      <formula>$B$9&lt;$L$20</formula>
    </cfRule>
  </conditionalFormatting>
  <conditionalFormatting sqref="L20:L22">
    <cfRule type="containsText" dxfId="116" priority="15" operator="containsText" text="无方案">
      <formula>NOT(ISERROR(SEARCH("无方案",L20)))</formula>
    </cfRule>
  </conditionalFormatting>
  <conditionalFormatting sqref="L21">
    <cfRule type="expression" dxfId="115" priority="39">
      <formula>$B$9&lt;$L$21</formula>
    </cfRule>
  </conditionalFormatting>
  <conditionalFormatting sqref="L22">
    <cfRule type="expression" dxfId="114" priority="16">
      <formula>$B$9&lt;$L$22</formula>
    </cfRule>
  </conditionalFormatting>
  <conditionalFormatting sqref="M17">
    <cfRule type="containsText" dxfId="113" priority="36" operator="containsText" text="无方案">
      <formula>NOT(ISERROR(SEARCH("无方案",M17)))</formula>
    </cfRule>
  </conditionalFormatting>
  <dataValidations count="2">
    <dataValidation type="list" allowBlank="1" showInputMessage="1" showErrorMessage="1" sqref="B3:C3" xr:uid="{9187DCA4-92FC-4E2B-ABE9-B5CA3C9FACE0}">
      <formula1>厂贴双优贷车系</formula1>
    </dataValidation>
    <dataValidation type="list" allowBlank="1" showInputMessage="1" showErrorMessage="1" sqref="B4" xr:uid="{0C4A6F8A-8BE9-4841-96C6-D8656ED49C6D}">
      <formula1>INDIRECT($B$3)</formula1>
    </dataValidation>
  </dataValidations>
  <hyperlinks>
    <hyperlink ref="M2" location="试算路径!A1" display="返回" xr:uid="{10DE60F2-51B0-4AA3-847F-2ED35A27F7AB}"/>
    <hyperlink ref="M2:M3" location="试算路径及方案简述!A1" display="返回" xr:uid="{9679D2CA-F9DA-42B2-8165-04786E0F348D}"/>
  </hyperlinks>
  <pageMargins left="0.7" right="0.7" top="0.75" bottom="0.75" header="0.3" footer="0.3"/>
  <pageSetup orientation="portrait" horizontalDpi="300" verticalDpi="0" copies="0"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theme="4" tint="-0.249977111117893"/>
  </sheetPr>
  <dimension ref="A1:R21"/>
  <sheetViews>
    <sheetView zoomScale="60" zoomScaleNormal="60" workbookViewId="0">
      <pane ySplit="13" topLeftCell="A14" activePane="bottomLeft" state="frozen"/>
      <selection pane="bottomLeft" activeCell="J2" sqref="J2:J3"/>
    </sheetView>
  </sheetViews>
  <sheetFormatPr defaultColWidth="8.75" defaultRowHeight="16.5"/>
  <cols>
    <col min="1" max="1" width="27.75" style="23" customWidth="1"/>
    <col min="2" max="2" width="17.33203125" style="23" customWidth="1"/>
    <col min="3" max="3" width="22.75" style="23" customWidth="1"/>
    <col min="4" max="4" width="18.58203125" style="23" customWidth="1"/>
    <col min="5" max="5" width="18.08203125" style="23" customWidth="1"/>
    <col min="6" max="6" width="19.9140625" style="23" customWidth="1"/>
    <col min="7" max="8" width="17.08203125" style="23" customWidth="1"/>
    <col min="9" max="9" width="16.75" style="23" customWidth="1"/>
    <col min="10" max="10" width="62.08203125" style="23" customWidth="1"/>
    <col min="11" max="11" width="2.33203125" style="23" customWidth="1"/>
    <col min="12" max="12" width="23.08203125" style="23" customWidth="1"/>
    <col min="13" max="13" width="19.08203125" style="23" customWidth="1"/>
    <col min="14" max="14" width="2" style="23" customWidth="1"/>
    <col min="15" max="15" width="13.75" style="23" customWidth="1"/>
    <col min="16" max="16" width="7.75" style="23" customWidth="1"/>
    <col min="17" max="17" width="16.08203125" style="23" customWidth="1"/>
    <col min="18" max="18" width="2" style="23" customWidth="1"/>
    <col min="19" max="16384" width="8.75" style="23"/>
  </cols>
  <sheetData>
    <row r="1" spans="1:18" ht="7.5" customHeight="1">
      <c r="P1" s="24"/>
      <c r="Q1" s="24"/>
    </row>
    <row r="2" spans="1:18" ht="21.65" customHeight="1">
      <c r="A2" s="25" t="s">
        <v>335</v>
      </c>
      <c r="J2" s="797" t="s">
        <v>286</v>
      </c>
      <c r="L2" s="348" t="s">
        <v>84</v>
      </c>
      <c r="M2" s="349">
        <v>0.2</v>
      </c>
      <c r="N2" s="92"/>
      <c r="O2" s="92"/>
      <c r="P2" s="24"/>
      <c r="Q2" s="24"/>
    </row>
    <row r="3" spans="1:18" ht="24" customHeight="1">
      <c r="A3" s="26" t="s">
        <v>45</v>
      </c>
      <c r="B3" s="798" t="s">
        <v>610</v>
      </c>
      <c r="C3" s="798"/>
      <c r="D3" s="264"/>
      <c r="J3" s="797"/>
      <c r="L3" s="346" t="s">
        <v>46</v>
      </c>
      <c r="M3" s="350">
        <v>699</v>
      </c>
      <c r="N3" s="92"/>
      <c r="O3" s="92"/>
      <c r="P3" s="24"/>
      <c r="Q3" s="24"/>
    </row>
    <row r="4" spans="1:18" ht="34.75" customHeight="1">
      <c r="A4" s="77" t="s">
        <v>79</v>
      </c>
      <c r="B4" s="799" t="s">
        <v>547</v>
      </c>
      <c r="C4" s="799"/>
      <c r="J4" s="97"/>
      <c r="K4" s="28"/>
      <c r="L4" s="71" t="s">
        <v>47</v>
      </c>
      <c r="M4" s="351">
        <f>B6</f>
        <v>309900</v>
      </c>
      <c r="N4" s="92"/>
      <c r="O4" s="92"/>
      <c r="Q4" s="27"/>
    </row>
    <row r="5" spans="1:18" ht="22.75" customHeight="1">
      <c r="A5" s="30" t="s">
        <v>287</v>
      </c>
      <c r="B5" s="801">
        <f>VLOOKUP(B4,'厂贴车型明细&amp;贷款金额说明'!C:D,2,0)</f>
        <v>399900</v>
      </c>
      <c r="C5" s="801"/>
      <c r="D5" s="31"/>
      <c r="K5" s="32"/>
      <c r="L5" s="347" t="s">
        <v>83</v>
      </c>
      <c r="M5" s="352">
        <f>(M4*M2-M3)/(1-M2)+1</f>
        <v>76602.25</v>
      </c>
      <c r="N5" s="353" t="s">
        <v>85</v>
      </c>
      <c r="O5" s="353"/>
      <c r="Q5" s="27"/>
    </row>
    <row r="6" spans="1:18" ht="28.5" customHeight="1">
      <c r="A6" s="30" t="s">
        <v>288</v>
      </c>
      <c r="B6" s="798">
        <v>309900</v>
      </c>
      <c r="C6" s="798"/>
      <c r="D6" s="31"/>
      <c r="F6" s="802" t="s">
        <v>481</v>
      </c>
      <c r="G6" s="802"/>
      <c r="H6" s="802"/>
      <c r="I6" s="802"/>
      <c r="J6" s="802"/>
      <c r="K6" s="36"/>
      <c r="L6" s="71" t="s">
        <v>48</v>
      </c>
      <c r="M6" s="351">
        <f>M4-M3</f>
        <v>309201</v>
      </c>
      <c r="N6" s="92"/>
      <c r="O6" s="353"/>
    </row>
    <row r="7" spans="1:18" ht="38.15" customHeight="1">
      <c r="A7" s="390" t="s">
        <v>318</v>
      </c>
      <c r="B7" s="826">
        <v>0</v>
      </c>
      <c r="C7" s="827"/>
      <c r="D7" s="31"/>
      <c r="E7" s="391"/>
      <c r="F7" s="802"/>
      <c r="G7" s="802"/>
      <c r="H7" s="802"/>
      <c r="I7" s="802"/>
      <c r="J7" s="802"/>
      <c r="K7" s="32"/>
      <c r="O7" s="41"/>
    </row>
    <row r="8" spans="1:18" ht="22.75" customHeight="1">
      <c r="A8" s="42" t="s">
        <v>49</v>
      </c>
      <c r="B8" s="805">
        <f>B6+B7</f>
        <v>309900</v>
      </c>
      <c r="C8" s="805"/>
      <c r="D8" s="342" t="s">
        <v>50</v>
      </c>
      <c r="E8" s="343">
        <f>B5*115%</f>
        <v>459884.99999999994</v>
      </c>
      <c r="F8" s="802"/>
      <c r="G8" s="802"/>
      <c r="H8" s="802"/>
      <c r="I8" s="802"/>
      <c r="J8" s="802"/>
      <c r="N8" s="24"/>
    </row>
    <row r="9" spans="1:18" s="24" customFormat="1" ht="27" customHeight="1">
      <c r="A9" s="45" t="s">
        <v>245</v>
      </c>
      <c r="B9" s="813">
        <v>239000</v>
      </c>
      <c r="C9" s="813"/>
      <c r="D9" s="830" t="s">
        <v>319</v>
      </c>
      <c r="E9" s="831"/>
      <c r="F9" s="802"/>
      <c r="G9" s="802"/>
      <c r="H9" s="802"/>
      <c r="I9" s="802"/>
      <c r="J9" s="802"/>
      <c r="K9" s="46"/>
      <c r="N9" s="23"/>
    </row>
    <row r="10" spans="1:18">
      <c r="F10" s="802"/>
      <c r="G10" s="802"/>
      <c r="H10" s="802"/>
      <c r="I10" s="802"/>
      <c r="J10" s="802"/>
      <c r="K10" s="39"/>
      <c r="L10" s="39"/>
      <c r="M10" s="28"/>
      <c r="N10" s="28"/>
    </row>
    <row r="11" spans="1:18" ht="18.5" customHeight="1">
      <c r="A11" s="59"/>
      <c r="B11" s="836">
        <v>0</v>
      </c>
      <c r="C11" s="836"/>
      <c r="D11" s="804" t="s">
        <v>130</v>
      </c>
      <c r="E11" s="804"/>
      <c r="F11" s="802"/>
      <c r="G11" s="802"/>
      <c r="H11" s="802"/>
      <c r="I11" s="802"/>
      <c r="J11" s="802"/>
      <c r="K11" s="49"/>
      <c r="L11" s="675" t="s">
        <v>52</v>
      </c>
      <c r="M11" s="676">
        <v>2399</v>
      </c>
      <c r="N11" s="346"/>
      <c r="O11" s="92"/>
    </row>
    <row r="12" spans="1:18" ht="28.5" customHeight="1">
      <c r="L12" s="348" t="s">
        <v>55</v>
      </c>
      <c r="M12" s="677">
        <f>PV(11.6%/12,60,-(M11+H18/60))</f>
        <v>115485.55619595549</v>
      </c>
      <c r="N12" s="92"/>
      <c r="O12" s="92"/>
      <c r="R12" s="51" t="s">
        <v>56</v>
      </c>
    </row>
    <row r="13" spans="1:18" ht="22.5" customHeight="1" thickBot="1">
      <c r="A13" s="52" t="s">
        <v>57</v>
      </c>
      <c r="B13" s="53"/>
      <c r="C13" s="54"/>
      <c r="D13" s="92"/>
    </row>
    <row r="14" spans="1:18" ht="22" customHeight="1" thickTop="1">
      <c r="A14" s="407" t="s">
        <v>361</v>
      </c>
      <c r="B14" s="409" t="s">
        <v>60</v>
      </c>
      <c r="C14" s="440" t="s">
        <v>59</v>
      </c>
      <c r="D14" s="342" t="s">
        <v>553</v>
      </c>
      <c r="E14" s="344">
        <f>VLOOKUP($B$3,'参数-车系车型 利率'!M:N,2,0)</f>
        <v>0.2</v>
      </c>
      <c r="F14" s="284"/>
      <c r="G14" s="24"/>
      <c r="H14" s="24"/>
      <c r="I14" s="55"/>
      <c r="J14" s="27"/>
      <c r="K14" s="27"/>
    </row>
    <row r="15" spans="1:18" ht="24" customHeight="1">
      <c r="A15" s="832" t="s">
        <v>372</v>
      </c>
      <c r="B15" s="362">
        <f>C15/B8</f>
        <v>0.228783478541465</v>
      </c>
      <c r="C15" s="437">
        <f>B8-B9</f>
        <v>70900</v>
      </c>
      <c r="D15" s="310" t="s">
        <v>554</v>
      </c>
      <c r="E15" s="310"/>
      <c r="F15" s="284"/>
      <c r="G15" s="24"/>
      <c r="H15" s="24"/>
      <c r="I15" s="27"/>
      <c r="J15" s="27"/>
      <c r="K15" s="27"/>
    </row>
    <row r="16" spans="1:18" ht="1.5" customHeight="1">
      <c r="A16" s="833"/>
    </row>
    <row r="17" spans="1:17" ht="27.65" customHeight="1">
      <c r="A17" s="833"/>
      <c r="B17" s="56" t="s">
        <v>61</v>
      </c>
      <c r="C17" s="57" t="s">
        <v>234</v>
      </c>
      <c r="D17" s="285" t="s">
        <v>344</v>
      </c>
      <c r="E17" s="90" t="s">
        <v>62</v>
      </c>
      <c r="F17" s="88" t="s">
        <v>63</v>
      </c>
      <c r="G17" s="88" t="s">
        <v>306</v>
      </c>
      <c r="H17" s="464" t="s">
        <v>64</v>
      </c>
      <c r="I17" s="89" t="s">
        <v>19</v>
      </c>
      <c r="J17" s="449" t="s">
        <v>440</v>
      </c>
      <c r="K17" s="59"/>
      <c r="L17" s="60"/>
      <c r="M17" s="60" t="s">
        <v>379</v>
      </c>
    </row>
    <row r="18" spans="1:17" ht="37" customHeight="1">
      <c r="A18" s="833"/>
      <c r="B18" s="301" t="s">
        <v>38</v>
      </c>
      <c r="C18" s="282">
        <f>PMT(E18/12,60,-$B$9)</f>
        <v>5121.6641999172034</v>
      </c>
      <c r="D18" s="453">
        <f>C18*60-B9</f>
        <v>68299.851995032222</v>
      </c>
      <c r="E18" s="302">
        <f>ROUNDUP(RATE(60,-C19,B9)*12,4)</f>
        <v>0.1037</v>
      </c>
      <c r="F18" s="303">
        <f>D18/$B$9/5</f>
        <v>5.7154687861951645E-2</v>
      </c>
      <c r="G18" s="463">
        <f>D18/$B$9</f>
        <v>0.28577343930975824</v>
      </c>
      <c r="H18" s="304">
        <f>VLOOKUP($B$4,'厂贴车型明细&amp;贷款金额说明'!C:E,3,0)</f>
        <v>8797.7999999999993</v>
      </c>
      <c r="I18" s="447">
        <f>VLOOKUP(B4,'厂贴车型明细&amp;贷款金额说明'!C:N,11,0)</f>
        <v>50000</v>
      </c>
      <c r="J18" s="834" t="str">
        <f>VLOOKUP(B4,'参数-方案配置'!C:K,8,0)</f>
        <v>个人申请：厂贴_双优贷2.0_新优速贷_60期</v>
      </c>
      <c r="K18" s="59"/>
      <c r="L18" s="65" t="s">
        <v>67</v>
      </c>
      <c r="M18" s="787">
        <v>12</v>
      </c>
      <c r="N18" s="787"/>
      <c r="O18" s="456" t="s">
        <v>377</v>
      </c>
      <c r="P18" s="66"/>
      <c r="Q18" s="67"/>
    </row>
    <row r="19" spans="1:17" ht="22" customHeight="1">
      <c r="A19" s="833"/>
      <c r="B19" s="61"/>
      <c r="C19" s="364">
        <f>ROUNDUP(PMT(VLOOKUP(B4,'参数-车系车型 利率'!B:N,13,0)/12,60,-$B$9)-H18/60,2)</f>
        <v>5121.6100000000006</v>
      </c>
      <c r="D19" s="78"/>
      <c r="E19" s="62"/>
      <c r="F19" s="63"/>
      <c r="G19" s="64"/>
      <c r="H19" s="64"/>
      <c r="I19" s="448"/>
      <c r="J19" s="835"/>
      <c r="K19" s="59"/>
      <c r="L19" s="65" t="s">
        <v>69</v>
      </c>
      <c r="M19" s="795">
        <f>B9-(C18*M18-M21)</f>
        <v>200529.96277933277</v>
      </c>
      <c r="N19" s="795"/>
      <c r="O19" s="68"/>
      <c r="P19" s="66"/>
      <c r="Q19" s="67"/>
    </row>
    <row r="20" spans="1:17" ht="22" customHeight="1">
      <c r="K20" s="59"/>
      <c r="L20" s="69" t="s">
        <v>70</v>
      </c>
      <c r="M20" s="796">
        <f>D18-M21</f>
        <v>45309.918816692996</v>
      </c>
      <c r="N20" s="796"/>
      <c r="O20" s="68"/>
      <c r="P20" s="66"/>
      <c r="Q20" s="67"/>
    </row>
    <row r="21" spans="1:17" ht="22" customHeight="1">
      <c r="K21" s="70"/>
      <c r="L21" s="71" t="s">
        <v>71</v>
      </c>
      <c r="M21" s="782">
        <f>(B9*(E18/12)-C18)*((1+(E18/12))^(M18)-1)/(E18/12)+(C18)*M18</f>
        <v>22989.933178339226</v>
      </c>
      <c r="N21" s="782"/>
      <c r="O21" s="72"/>
      <c r="P21" s="72"/>
      <c r="Q21" s="72"/>
    </row>
  </sheetData>
  <sheetProtection algorithmName="SHA-512" hashValue="yMUuJAlZ5Lg/WDC7ha/2zpLPbu4TrjCI9dJWbc1EUZrnSbHcUeMeo6V1k01m6NN9NhTdRFtx900+XQHdi2tpAg==" saltValue="1NPswyuNqeu6KnryRfDsYQ==" spinCount="100000" sheet="1" objects="1" scenarios="1"/>
  <mergeCells count="18">
    <mergeCell ref="A15:A19"/>
    <mergeCell ref="J18:J19"/>
    <mergeCell ref="M18:N18"/>
    <mergeCell ref="M19:N19"/>
    <mergeCell ref="M20:N20"/>
    <mergeCell ref="M21:N21"/>
    <mergeCell ref="B7:C7"/>
    <mergeCell ref="B8:C8"/>
    <mergeCell ref="B9:C9"/>
    <mergeCell ref="B11:C11"/>
    <mergeCell ref="D11:E11"/>
    <mergeCell ref="D9:E9"/>
    <mergeCell ref="J2:J3"/>
    <mergeCell ref="B3:C3"/>
    <mergeCell ref="B4:C4"/>
    <mergeCell ref="B5:C5"/>
    <mergeCell ref="B6:C6"/>
    <mergeCell ref="F6:J11"/>
  </mergeCells>
  <phoneticPr fontId="1" type="noConversion"/>
  <conditionalFormatting sqref="B19 D19:F19">
    <cfRule type="expression" dxfId="112" priority="446">
      <formula>$B$9&lt;$I$19</formula>
    </cfRule>
    <cfRule type="expression" dxfId="111" priority="447">
      <formula>$E$19&lt;-0.001%</formula>
    </cfRule>
  </conditionalFormatting>
  <conditionalFormatting sqref="B18:F18">
    <cfRule type="expression" dxfId="110" priority="444">
      <formula>$B$9&lt;$I$18</formula>
    </cfRule>
    <cfRule type="expression" dxfId="109" priority="445">
      <formula>$E$18&lt;-0.001%</formula>
    </cfRule>
  </conditionalFormatting>
  <conditionalFormatting sqref="C15">
    <cfRule type="expression" dxfId="108" priority="4">
      <formula>$C$15&lt;$E$14</formula>
    </cfRule>
  </conditionalFormatting>
  <conditionalFormatting sqref="C19">
    <cfRule type="expression" dxfId="107" priority="442">
      <formula>$B$9&lt;#REF!</formula>
    </cfRule>
    <cfRule type="expression" dxfId="106" priority="443">
      <formula>#REF!&lt;-0.001%</formula>
    </cfRule>
  </conditionalFormatting>
  <conditionalFormatting sqref="D3">
    <cfRule type="expression" dxfId="105" priority="10">
      <formula>$B$3="新君威"</formula>
    </cfRule>
  </conditionalFormatting>
  <conditionalFormatting sqref="D11">
    <cfRule type="expression" dxfId="104" priority="15">
      <formula>$B$11&gt;0</formula>
    </cfRule>
  </conditionalFormatting>
  <conditionalFormatting sqref="D14:D15">
    <cfRule type="expression" dxfId="103" priority="3">
      <formula>$B$15&lt;$E$14</formula>
    </cfRule>
  </conditionalFormatting>
  <conditionalFormatting sqref="D8:E8">
    <cfRule type="expression" dxfId="102" priority="1">
      <formula>$B$8&gt;$E$8</formula>
    </cfRule>
  </conditionalFormatting>
  <conditionalFormatting sqref="D9:E9">
    <cfRule type="expression" dxfId="101" priority="6">
      <formula>$B$9&gt;=$B$6</formula>
    </cfRule>
  </conditionalFormatting>
  <conditionalFormatting sqref="E14">
    <cfRule type="expression" dxfId="100" priority="2">
      <formula>$B$15&lt;$E$14</formula>
    </cfRule>
  </conditionalFormatting>
  <conditionalFormatting sqref="I18">
    <cfRule type="expression" dxfId="99" priority="450">
      <formula>$B$9&lt;$I18</formula>
    </cfRule>
  </conditionalFormatting>
  <conditionalFormatting sqref="I19">
    <cfRule type="expression" dxfId="98" priority="29">
      <formula>#REF!&lt;$I19</formula>
    </cfRule>
  </conditionalFormatting>
  <conditionalFormatting sqref="J18">
    <cfRule type="containsText" dxfId="97" priority="27" operator="containsText" text="无方案">
      <formula>NOT(ISERROR(SEARCH("无方案",J18)))</formula>
    </cfRule>
  </conditionalFormatting>
  <dataValidations count="3">
    <dataValidation type="list" allowBlank="1" showInputMessage="1" showErrorMessage="1" sqref="B4" xr:uid="{00000000-0002-0000-0400-000000000000}">
      <formula1>INDIRECT($B$3)</formula1>
    </dataValidation>
    <dataValidation type="list" allowBlank="1" showInputMessage="1" showErrorMessage="1" sqref="M2" xr:uid="{00000000-0002-0000-0400-000001000000}">
      <formula1>"20%,15%"</formula1>
    </dataValidation>
    <dataValidation type="list" allowBlank="1" showInputMessage="1" showErrorMessage="1" sqref="B3:C3" xr:uid="{00000000-0002-0000-0400-000002000000}">
      <formula1>厂贴双优贷车系</formula1>
    </dataValidation>
  </dataValidations>
  <hyperlinks>
    <hyperlink ref="J2" location="试算路径!A1" display="返回" xr:uid="{00000000-0004-0000-0400-000000000000}"/>
    <hyperlink ref="J2:J3" location="试算路径及方案简述!A1" display="返回" xr:uid="{00000000-0004-0000-0400-000001000000}"/>
  </hyperlinks>
  <pageMargins left="0.7" right="0.7" top="0.75" bottom="0.75" header="0.3" footer="0.3"/>
  <pageSetup orientation="portrait" horizontalDpi="300" verticalDpi="0" copies="0"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tabColor theme="4" tint="-0.249977111117893"/>
  </sheetPr>
  <dimension ref="A1:R21"/>
  <sheetViews>
    <sheetView zoomScale="50" zoomScaleNormal="50" workbookViewId="0">
      <pane ySplit="13" topLeftCell="A14" activePane="bottomLeft" state="frozen"/>
      <selection pane="bottomLeft" activeCell="J2" sqref="J2:J3"/>
    </sheetView>
  </sheetViews>
  <sheetFormatPr defaultColWidth="8.75" defaultRowHeight="16.5"/>
  <cols>
    <col min="1" max="1" width="27.75" style="23" customWidth="1"/>
    <col min="2" max="2" width="17.33203125" style="23" customWidth="1"/>
    <col min="3" max="3" width="22.75" style="23" customWidth="1"/>
    <col min="4" max="4" width="18.58203125" style="23" customWidth="1"/>
    <col min="5" max="5" width="19.9140625" style="23" customWidth="1"/>
    <col min="6" max="6" width="19.4140625" style="23" customWidth="1"/>
    <col min="7" max="8" width="17.08203125" style="23" customWidth="1"/>
    <col min="9" max="9" width="16.75" style="23" customWidth="1"/>
    <col min="10" max="10" width="62.58203125" style="23" customWidth="1"/>
    <col min="11" max="11" width="2.33203125" style="23" customWidth="1"/>
    <col min="12" max="12" width="23.08203125" style="23" customWidth="1"/>
    <col min="13" max="13" width="19.08203125" style="23" customWidth="1"/>
    <col min="14" max="14" width="2.08203125" style="23" customWidth="1"/>
    <col min="15" max="15" width="13.9140625" style="23" customWidth="1"/>
    <col min="16" max="16" width="7.75" style="23" customWidth="1"/>
    <col min="17" max="17" width="16.08203125" style="23" customWidth="1"/>
    <col min="18" max="18" width="2" style="23" customWidth="1"/>
    <col min="19" max="16384" width="8.75" style="23"/>
  </cols>
  <sheetData>
    <row r="1" spans="1:18" ht="7.5" customHeight="1">
      <c r="P1" s="24"/>
      <c r="Q1" s="24"/>
    </row>
    <row r="2" spans="1:18" ht="21.65" customHeight="1">
      <c r="A2" s="25" t="s">
        <v>335</v>
      </c>
      <c r="J2" s="797" t="s">
        <v>286</v>
      </c>
      <c r="L2" s="348" t="s">
        <v>84</v>
      </c>
      <c r="M2" s="349">
        <v>0.2</v>
      </c>
      <c r="N2" s="92"/>
      <c r="O2" s="92"/>
      <c r="P2" s="24"/>
      <c r="Q2" s="24"/>
    </row>
    <row r="3" spans="1:18" ht="24" customHeight="1">
      <c r="A3" s="26" t="s">
        <v>45</v>
      </c>
      <c r="B3" s="798" t="s">
        <v>505</v>
      </c>
      <c r="C3" s="798"/>
      <c r="D3" s="264"/>
      <c r="J3" s="797"/>
      <c r="L3" s="346" t="s">
        <v>46</v>
      </c>
      <c r="M3" s="350">
        <v>699</v>
      </c>
      <c r="N3" s="92"/>
      <c r="O3" s="92"/>
      <c r="P3" s="24"/>
      <c r="Q3" s="24"/>
    </row>
    <row r="4" spans="1:18" ht="31.25" customHeight="1">
      <c r="A4" s="77" t="s">
        <v>79</v>
      </c>
      <c r="B4" s="799" t="s">
        <v>547</v>
      </c>
      <c r="C4" s="799"/>
      <c r="J4" s="97"/>
      <c r="K4" s="28"/>
      <c r="L4" s="71" t="s">
        <v>47</v>
      </c>
      <c r="M4" s="351">
        <f>B6</f>
        <v>309900</v>
      </c>
      <c r="N4" s="92"/>
      <c r="O4" s="92"/>
      <c r="Q4" s="27"/>
    </row>
    <row r="5" spans="1:18" ht="22.75" customHeight="1">
      <c r="A5" s="30" t="s">
        <v>287</v>
      </c>
      <c r="B5" s="801">
        <f>VLOOKUP(B4,'厂贴车型明细&amp;贷款金额说明'!C:D,2,0)</f>
        <v>399900</v>
      </c>
      <c r="C5" s="801"/>
      <c r="D5" s="31"/>
      <c r="K5" s="32"/>
      <c r="L5" s="347" t="s">
        <v>83</v>
      </c>
      <c r="M5" s="352">
        <f>(M4*M2-M3)/(1-M2)+1</f>
        <v>76602.25</v>
      </c>
      <c r="N5" s="353" t="s">
        <v>85</v>
      </c>
      <c r="O5" s="353"/>
      <c r="Q5" s="27"/>
    </row>
    <row r="6" spans="1:18" ht="28.5" customHeight="1">
      <c r="A6" s="30" t="s">
        <v>288</v>
      </c>
      <c r="B6" s="798">
        <v>309900</v>
      </c>
      <c r="C6" s="798"/>
      <c r="D6" s="31"/>
      <c r="F6" s="802" t="s">
        <v>481</v>
      </c>
      <c r="G6" s="802"/>
      <c r="H6" s="802"/>
      <c r="I6" s="802"/>
      <c r="J6" s="802"/>
      <c r="K6" s="36"/>
      <c r="L6" s="71" t="s">
        <v>48</v>
      </c>
      <c r="M6" s="351">
        <f>M4-M3</f>
        <v>309201</v>
      </c>
      <c r="N6" s="92"/>
      <c r="O6" s="353"/>
    </row>
    <row r="7" spans="1:18" ht="38.15" customHeight="1">
      <c r="A7" s="390" t="s">
        <v>318</v>
      </c>
      <c r="B7" s="826">
        <v>0</v>
      </c>
      <c r="C7" s="827"/>
      <c r="D7" s="31"/>
      <c r="E7" s="391"/>
      <c r="F7" s="802"/>
      <c r="G7" s="802"/>
      <c r="H7" s="802"/>
      <c r="I7" s="802"/>
      <c r="J7" s="802"/>
      <c r="K7" s="32"/>
      <c r="O7" s="41"/>
    </row>
    <row r="8" spans="1:18" ht="22.75" customHeight="1">
      <c r="A8" s="42" t="s">
        <v>49</v>
      </c>
      <c r="B8" s="805">
        <f>B6+B7</f>
        <v>309900</v>
      </c>
      <c r="C8" s="805"/>
      <c r="D8" s="342" t="s">
        <v>50</v>
      </c>
      <c r="E8" s="343">
        <f>B5*115%</f>
        <v>459884.99999999994</v>
      </c>
      <c r="F8" s="802"/>
      <c r="G8" s="802"/>
      <c r="H8" s="802"/>
      <c r="I8" s="802"/>
      <c r="J8" s="802"/>
      <c r="N8" s="24"/>
    </row>
    <row r="9" spans="1:18" s="24" customFormat="1" ht="27" customHeight="1">
      <c r="A9" s="45" t="s">
        <v>245</v>
      </c>
      <c r="B9" s="813">
        <v>239000</v>
      </c>
      <c r="C9" s="813"/>
      <c r="D9" s="830" t="s">
        <v>319</v>
      </c>
      <c r="E9" s="831"/>
      <c r="F9" s="802"/>
      <c r="G9" s="802"/>
      <c r="H9" s="802"/>
      <c r="I9" s="802"/>
      <c r="J9" s="802"/>
      <c r="K9" s="46"/>
      <c r="N9" s="23"/>
    </row>
    <row r="10" spans="1:18" ht="28" customHeight="1">
      <c r="F10" s="802"/>
      <c r="G10" s="802"/>
      <c r="H10" s="802"/>
      <c r="I10" s="802"/>
      <c r="J10" s="802"/>
      <c r="K10" s="39"/>
      <c r="L10" s="39"/>
      <c r="M10" s="28"/>
      <c r="N10" s="28"/>
    </row>
    <row r="11" spans="1:18" ht="25" customHeight="1">
      <c r="A11" s="59"/>
      <c r="B11" s="884"/>
      <c r="C11" s="884"/>
      <c r="D11" s="804" t="s">
        <v>130</v>
      </c>
      <c r="E11" s="804"/>
      <c r="F11" s="802"/>
      <c r="G11" s="802"/>
      <c r="H11" s="802"/>
      <c r="I11" s="802"/>
      <c r="J11" s="802"/>
      <c r="K11" s="49"/>
      <c r="L11" s="675" t="s">
        <v>52</v>
      </c>
      <c r="M11" s="676">
        <v>2399</v>
      </c>
      <c r="N11" s="346"/>
      <c r="O11" s="92"/>
    </row>
    <row r="12" spans="1:18" ht="22.5" customHeight="1">
      <c r="L12" s="348" t="s">
        <v>55</v>
      </c>
      <c r="M12" s="677">
        <f>PV(9.7%/12,60,-(M11+H18/60))</f>
        <v>120647.4944043838</v>
      </c>
      <c r="N12" s="92"/>
      <c r="O12" s="92"/>
      <c r="R12" s="51" t="s">
        <v>56</v>
      </c>
    </row>
    <row r="13" spans="1:18" ht="22.5" customHeight="1" thickBot="1">
      <c r="A13" s="52" t="s">
        <v>57</v>
      </c>
      <c r="B13" s="53"/>
      <c r="C13" s="54"/>
      <c r="D13" s="92"/>
    </row>
    <row r="14" spans="1:18" ht="22" customHeight="1" thickTop="1">
      <c r="A14" s="407" t="s">
        <v>361</v>
      </c>
      <c r="B14" s="409" t="s">
        <v>60</v>
      </c>
      <c r="C14" s="440" t="s">
        <v>59</v>
      </c>
      <c r="D14" s="342" t="s">
        <v>553</v>
      </c>
      <c r="E14" s="344">
        <f>VLOOKUP($B$3,'参数-车系车型 利率'!M:N,2,0)</f>
        <v>0.15</v>
      </c>
      <c r="F14" s="284"/>
      <c r="G14" s="24"/>
      <c r="H14" s="24"/>
      <c r="I14" s="55"/>
      <c r="J14" s="27"/>
      <c r="K14" s="27"/>
    </row>
    <row r="15" spans="1:18" ht="24" customHeight="1">
      <c r="A15" s="832" t="s">
        <v>393</v>
      </c>
      <c r="B15" s="362">
        <f>C15/B8</f>
        <v>0.228783478541465</v>
      </c>
      <c r="C15" s="437">
        <f>B8-B9</f>
        <v>70900</v>
      </c>
      <c r="D15" s="310" t="s">
        <v>554</v>
      </c>
      <c r="E15" s="310"/>
      <c r="F15" s="284"/>
      <c r="G15" s="24"/>
      <c r="H15" s="24"/>
      <c r="I15" s="27"/>
      <c r="J15" s="27"/>
      <c r="K15" s="27"/>
    </row>
    <row r="16" spans="1:18" ht="1.5" customHeight="1">
      <c r="A16" s="833"/>
    </row>
    <row r="17" spans="1:17" ht="22" customHeight="1">
      <c r="A17" s="833"/>
      <c r="B17" s="56" t="s">
        <v>61</v>
      </c>
      <c r="C17" s="57" t="s">
        <v>234</v>
      </c>
      <c r="D17" s="285" t="s">
        <v>344</v>
      </c>
      <c r="E17" s="90" t="s">
        <v>62</v>
      </c>
      <c r="F17" s="88" t="s">
        <v>63</v>
      </c>
      <c r="G17" s="88" t="s">
        <v>306</v>
      </c>
      <c r="H17" s="464" t="s">
        <v>64</v>
      </c>
      <c r="I17" s="89" t="s">
        <v>19</v>
      </c>
      <c r="J17" s="449" t="s">
        <v>440</v>
      </c>
      <c r="K17" s="59"/>
      <c r="L17" s="60"/>
      <c r="M17" s="60" t="s">
        <v>379</v>
      </c>
    </row>
    <row r="18" spans="1:17" ht="37" customHeight="1">
      <c r="A18" s="833"/>
      <c r="B18" s="301" t="s">
        <v>38</v>
      </c>
      <c r="C18" s="282">
        <f>PMT(E18/12,60,-$B$9)</f>
        <v>4896.5425485087126</v>
      </c>
      <c r="D18" s="453">
        <f>C18*60-B9</f>
        <v>54792.552910522732</v>
      </c>
      <c r="E18" s="302">
        <f>ROUNDUP(RATE(60,-C19,B9)*12,4)</f>
        <v>8.4400000000000003E-2</v>
      </c>
      <c r="F18" s="303">
        <f>D18/$B$9/5</f>
        <v>4.5851508711734504E-2</v>
      </c>
      <c r="G18" s="463">
        <f>D18/$B$9</f>
        <v>0.22925754355867253</v>
      </c>
      <c r="H18" s="430">
        <f>VLOOKUP($B$4,'厂贴车型明细&amp;贷款金额说明'!C:E,3,0)</f>
        <v>8797.7999999999993</v>
      </c>
      <c r="I18" s="447">
        <f>VLOOKUP(B4,'厂贴车型明细&amp;贷款金额说明'!C:N,12,0)</f>
        <v>50000</v>
      </c>
      <c r="J18" s="834" t="str">
        <f>VLOOKUP(B4,'参数-方案配置'!C:K,9,0)</f>
        <v>个人申请：厂贴_双优贷1.0_新优速贷_60期</v>
      </c>
      <c r="K18" s="59"/>
      <c r="L18" s="65" t="s">
        <v>67</v>
      </c>
      <c r="M18" s="787">
        <v>12</v>
      </c>
      <c r="N18" s="787"/>
      <c r="O18" s="456" t="s">
        <v>377</v>
      </c>
      <c r="P18" s="66"/>
      <c r="Q18" s="67"/>
    </row>
    <row r="19" spans="1:17" ht="22" customHeight="1">
      <c r="A19" s="833"/>
      <c r="B19" s="61"/>
      <c r="C19" s="674">
        <f>ROUNDUP(PMT(VLOOKUP(B4,'参数-车系车型 利率'!B:Q,14,0)/12,60,-$B$9)-(H18+B11)/60,2)</f>
        <v>4896.21</v>
      </c>
      <c r="D19" s="78"/>
      <c r="E19" s="62"/>
      <c r="F19" s="63"/>
      <c r="G19" s="64"/>
      <c r="H19" s="64"/>
      <c r="I19" s="448"/>
      <c r="J19" s="835"/>
      <c r="K19" s="59"/>
      <c r="L19" s="65" t="s">
        <v>69</v>
      </c>
      <c r="M19" s="795">
        <f>B9-(C18*M18-M21)</f>
        <v>198884.86419045707</v>
      </c>
      <c r="N19" s="795"/>
      <c r="O19" s="68"/>
      <c r="P19" s="66"/>
      <c r="Q19" s="67"/>
    </row>
    <row r="20" spans="1:17" ht="22" customHeight="1">
      <c r="K20" s="59"/>
      <c r="L20" s="69" t="s">
        <v>70</v>
      </c>
      <c r="M20" s="796">
        <f>D18-M21</f>
        <v>36149.178137961106</v>
      </c>
      <c r="N20" s="796"/>
      <c r="O20" s="68"/>
      <c r="P20" s="66"/>
      <c r="Q20" s="67"/>
    </row>
    <row r="21" spans="1:17" ht="22" customHeight="1">
      <c r="K21" s="70"/>
      <c r="L21" s="71" t="s">
        <v>71</v>
      </c>
      <c r="M21" s="782">
        <f>(B9*(E18/12)-C18)*((1+(E18/12))^(M18)-1)/(E18/12)+(C18)*M18</f>
        <v>18643.374772561627</v>
      </c>
      <c r="N21" s="782"/>
      <c r="O21" s="72"/>
      <c r="P21" s="72"/>
      <c r="Q21" s="72"/>
    </row>
  </sheetData>
  <sheetProtection algorithmName="SHA-512" hashValue="Dye33t+/3crh6VUDSrgSFb8RT3V7Jx9jHfTqmWVFF6vYfovvqfg05KindS2bZug+JbpPBvmf6yLUrVqDN00N7A==" saltValue="kW/Fuzwub5B/gEY0iu0AQw==" spinCount="100000" sheet="1" objects="1" scenarios="1"/>
  <mergeCells count="18">
    <mergeCell ref="J2:J3"/>
    <mergeCell ref="B3:C3"/>
    <mergeCell ref="B4:C4"/>
    <mergeCell ref="B5:C5"/>
    <mergeCell ref="B6:C6"/>
    <mergeCell ref="B7:C7"/>
    <mergeCell ref="B8:C8"/>
    <mergeCell ref="B9:C9"/>
    <mergeCell ref="D9:E9"/>
    <mergeCell ref="F6:J11"/>
    <mergeCell ref="M20:N20"/>
    <mergeCell ref="M21:N21"/>
    <mergeCell ref="B11:C11"/>
    <mergeCell ref="D11:E11"/>
    <mergeCell ref="A15:A19"/>
    <mergeCell ref="J18:J19"/>
    <mergeCell ref="M18:N18"/>
    <mergeCell ref="M19:N19"/>
  </mergeCells>
  <phoneticPr fontId="1" type="noConversion"/>
  <conditionalFormatting sqref="B19 D19:F19">
    <cfRule type="expression" dxfId="96" priority="454">
      <formula>$B$9&lt;$I$19</formula>
    </cfRule>
    <cfRule type="expression" dxfId="95" priority="455">
      <formula>$E$19&lt;-0.001%</formula>
    </cfRule>
  </conditionalFormatting>
  <conditionalFormatting sqref="B18:F18">
    <cfRule type="expression" dxfId="94" priority="21">
      <formula>$B$9&lt;$I$18</formula>
    </cfRule>
    <cfRule type="expression" dxfId="93" priority="21">
      <formula>$E$18&lt;-0.001%</formula>
    </cfRule>
  </conditionalFormatting>
  <conditionalFormatting sqref="C15">
    <cfRule type="expression" dxfId="92" priority="5">
      <formula>$C$15&lt;$E$14</formula>
    </cfRule>
  </conditionalFormatting>
  <conditionalFormatting sqref="C19">
    <cfRule type="expression" dxfId="91" priority="19">
      <formula>$B$9&lt;#REF!</formula>
    </cfRule>
    <cfRule type="expression" dxfId="90" priority="20">
      <formula>#REF!&lt;-0.001%</formula>
    </cfRule>
  </conditionalFormatting>
  <conditionalFormatting sqref="D3">
    <cfRule type="expression" dxfId="89" priority="7">
      <formula>$B$3="新君威"</formula>
    </cfRule>
  </conditionalFormatting>
  <conditionalFormatting sqref="D11">
    <cfRule type="expression" dxfId="88" priority="9">
      <formula>$B$11&gt;0</formula>
    </cfRule>
  </conditionalFormatting>
  <conditionalFormatting sqref="D14:D15">
    <cfRule type="expression" dxfId="87" priority="4">
      <formula>$B$15&lt;$E$14</formula>
    </cfRule>
  </conditionalFormatting>
  <conditionalFormatting sqref="D8:E8">
    <cfRule type="expression" dxfId="86" priority="1">
      <formula>$B$8&gt;$E$8</formula>
    </cfRule>
  </conditionalFormatting>
  <conditionalFormatting sqref="D9:E9">
    <cfRule type="expression" dxfId="85" priority="6">
      <formula>$B$9&gt;=$B$6</formula>
    </cfRule>
  </conditionalFormatting>
  <conditionalFormatting sqref="E14">
    <cfRule type="expression" dxfId="84" priority="2">
      <formula>$B$15&lt;$E$14</formula>
    </cfRule>
  </conditionalFormatting>
  <conditionalFormatting sqref="I18">
    <cfRule type="expression" dxfId="83" priority="458">
      <formula>$B$9&lt;$I18</formula>
    </cfRule>
  </conditionalFormatting>
  <conditionalFormatting sqref="I19">
    <cfRule type="expression" dxfId="82" priority="18">
      <formula>#REF!&lt;$I19</formula>
    </cfRule>
  </conditionalFormatting>
  <conditionalFormatting sqref="J18">
    <cfRule type="containsText" dxfId="81" priority="17" operator="containsText" text="无方案">
      <formula>NOT(ISERROR(SEARCH("无方案",J18)))</formula>
    </cfRule>
  </conditionalFormatting>
  <dataValidations count="3">
    <dataValidation type="list" allowBlank="1" showInputMessage="1" showErrorMessage="1" sqref="B3:C3" xr:uid="{00000000-0002-0000-0700-000000000000}">
      <formula1>厂贴双优贷车系</formula1>
    </dataValidation>
    <dataValidation type="list" allowBlank="1" showInputMessage="1" showErrorMessage="1" sqref="M2" xr:uid="{00000000-0002-0000-0700-000001000000}">
      <formula1>"20%,15%"</formula1>
    </dataValidation>
    <dataValidation type="list" allowBlank="1" showInputMessage="1" showErrorMessage="1" sqref="B4" xr:uid="{00000000-0002-0000-0700-000002000000}">
      <formula1>INDIRECT($B$3)</formula1>
    </dataValidation>
  </dataValidations>
  <hyperlinks>
    <hyperlink ref="J2" location="试算路径!A1" display="返回" xr:uid="{00000000-0004-0000-0700-000000000000}"/>
    <hyperlink ref="J2:J3" location="试算路径及方案简述!A1" display="返回" xr:uid="{00000000-0004-0000-0700-000001000000}"/>
  </hyperlinks>
  <pageMargins left="0.7" right="0.7" top="0.75" bottom="0.75" header="0.3" footer="0.3"/>
  <pageSetup orientation="portrait" horizontalDpi="300" verticalDpi="0" copies="0"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2CDA85-2CD0-4F90-8A1E-A4434E007958}">
  <sheetPr>
    <tabColor theme="5" tint="0.59999389629810485"/>
  </sheetPr>
  <dimension ref="A1:T32"/>
  <sheetViews>
    <sheetView zoomScale="55" zoomScaleNormal="55" workbookViewId="0">
      <pane ySplit="13" topLeftCell="A14" activePane="bottomLeft" state="frozen"/>
      <selection pane="bottomLeft" activeCell="L2" sqref="L2:L3"/>
    </sheetView>
  </sheetViews>
  <sheetFormatPr defaultColWidth="8.75" defaultRowHeight="16.5"/>
  <cols>
    <col min="1" max="1" width="20.33203125" style="23" customWidth="1"/>
    <col min="2" max="2" width="17.33203125" style="23" customWidth="1"/>
    <col min="3" max="3" width="23.33203125" style="23" customWidth="1"/>
    <col min="4" max="4" width="15.33203125" style="23" customWidth="1"/>
    <col min="5" max="5" width="23" style="23" customWidth="1"/>
    <col min="6" max="6" width="20" style="23" customWidth="1"/>
    <col min="7" max="7" width="17.33203125" style="23" customWidth="1"/>
    <col min="8" max="8" width="17.08203125" style="23" customWidth="1"/>
    <col min="9" max="10" width="17.08203125" style="23" hidden="1" customWidth="1"/>
    <col min="11" max="11" width="16.75" style="23" customWidth="1"/>
    <col min="12" max="12" width="84.33203125" style="23" customWidth="1"/>
    <col min="13" max="13" width="2.33203125" style="23" customWidth="1"/>
    <col min="14" max="14" width="23.08203125" style="23" customWidth="1"/>
    <col min="15" max="15" width="19.08203125" style="23" customWidth="1"/>
    <col min="16" max="16" width="11.75" style="23" customWidth="1"/>
    <col min="17" max="17" width="12.58203125" style="23" customWidth="1"/>
    <col min="18" max="18" width="7.75" style="23" customWidth="1"/>
    <col min="19" max="19" width="16.08203125" style="23" customWidth="1"/>
    <col min="20" max="20" width="2" style="23" customWidth="1"/>
    <col min="21" max="16384" width="8.75" style="23"/>
  </cols>
  <sheetData>
    <row r="1" spans="1:20" ht="7.5" customHeight="1">
      <c r="R1" s="24"/>
      <c r="S1" s="24"/>
    </row>
    <row r="2" spans="1:20" ht="21.65" customHeight="1">
      <c r="A2" s="25" t="s">
        <v>335</v>
      </c>
      <c r="L2" s="797" t="s">
        <v>286</v>
      </c>
      <c r="N2" s="41"/>
      <c r="O2" s="41"/>
      <c r="P2" s="41"/>
      <c r="R2" s="24"/>
      <c r="S2" s="24"/>
    </row>
    <row r="3" spans="1:20" ht="24" customHeight="1">
      <c r="A3" s="26" t="s">
        <v>45</v>
      </c>
      <c r="B3" s="798" t="s">
        <v>336</v>
      </c>
      <c r="C3" s="798"/>
      <c r="D3" s="264"/>
      <c r="L3" s="797"/>
      <c r="N3" s="41"/>
      <c r="O3" s="41"/>
      <c r="P3" s="41"/>
      <c r="R3" s="24"/>
      <c r="S3" s="24"/>
    </row>
    <row r="4" spans="1:20" ht="28" customHeight="1">
      <c r="A4" s="77" t="s">
        <v>79</v>
      </c>
      <c r="B4" s="799" t="s">
        <v>90</v>
      </c>
      <c r="C4" s="800"/>
      <c r="F4" s="802" t="s">
        <v>551</v>
      </c>
      <c r="G4" s="802"/>
      <c r="H4" s="802"/>
      <c r="I4" s="802"/>
      <c r="J4" s="802"/>
      <c r="K4" s="802"/>
      <c r="L4" s="802"/>
      <c r="M4" s="28"/>
      <c r="N4" s="41"/>
      <c r="O4" s="41"/>
      <c r="P4" s="41"/>
      <c r="S4" s="27"/>
    </row>
    <row r="5" spans="1:20" ht="22.5" customHeight="1">
      <c r="A5" s="30" t="s">
        <v>287</v>
      </c>
      <c r="B5" s="801">
        <f>VLOOKUP(B4,'厂贴车型明细&amp;贷款金额说明'!C:D,2,0)</f>
        <v>112800</v>
      </c>
      <c r="C5" s="801"/>
      <c r="D5" s="31"/>
      <c r="F5" s="802"/>
      <c r="G5" s="802"/>
      <c r="H5" s="802"/>
      <c r="I5" s="802"/>
      <c r="J5" s="802"/>
      <c r="K5" s="802"/>
      <c r="L5" s="802"/>
      <c r="M5" s="32"/>
      <c r="N5" s="41"/>
      <c r="O5" s="41"/>
      <c r="P5" s="41"/>
      <c r="Q5" s="34"/>
      <c r="S5" s="27"/>
    </row>
    <row r="6" spans="1:20" ht="22.75" customHeight="1">
      <c r="A6" s="30" t="s">
        <v>288</v>
      </c>
      <c r="B6" s="798">
        <v>80000</v>
      </c>
      <c r="C6" s="798"/>
      <c r="D6" s="35"/>
      <c r="F6" s="802"/>
      <c r="G6" s="802"/>
      <c r="H6" s="802"/>
      <c r="I6" s="802"/>
      <c r="J6" s="802"/>
      <c r="K6" s="802"/>
      <c r="L6" s="802"/>
      <c r="M6" s="36"/>
      <c r="N6" s="41"/>
      <c r="O6" s="41"/>
      <c r="P6" s="41"/>
      <c r="Q6" s="34"/>
    </row>
    <row r="7" spans="1:20" ht="29.5">
      <c r="A7" s="390" t="s">
        <v>536</v>
      </c>
      <c r="B7" s="798">
        <v>0</v>
      </c>
      <c r="C7" s="798"/>
      <c r="D7" s="27"/>
      <c r="E7" s="39"/>
      <c r="F7" s="802"/>
      <c r="G7" s="802"/>
      <c r="H7" s="802"/>
      <c r="I7" s="802"/>
      <c r="J7" s="802"/>
      <c r="K7" s="802"/>
      <c r="L7" s="802"/>
      <c r="M7" s="32"/>
      <c r="N7" s="41"/>
      <c r="O7" s="41"/>
      <c r="P7" s="41"/>
      <c r="Q7" s="41"/>
    </row>
    <row r="8" spans="1:20" ht="22.75" customHeight="1">
      <c r="A8" s="42" t="s">
        <v>49</v>
      </c>
      <c r="B8" s="805">
        <f>B6+B7</f>
        <v>80000</v>
      </c>
      <c r="C8" s="805"/>
      <c r="D8" s="342" t="s">
        <v>50</v>
      </c>
      <c r="E8" s="343">
        <f>B5*115%</f>
        <v>129719.99999999999</v>
      </c>
      <c r="F8" s="802"/>
      <c r="G8" s="802"/>
      <c r="H8" s="802"/>
      <c r="I8" s="802"/>
      <c r="J8" s="802"/>
      <c r="K8" s="802"/>
      <c r="L8" s="802"/>
      <c r="N8" s="41"/>
      <c r="O8" s="41"/>
      <c r="P8" s="41"/>
    </row>
    <row r="9" spans="1:20" s="24" customFormat="1" ht="22.4" hidden="1" customHeight="1">
      <c r="A9" s="45" t="s">
        <v>245</v>
      </c>
      <c r="B9" s="805"/>
      <c r="C9" s="805"/>
      <c r="E9" s="91"/>
      <c r="F9" s="557"/>
      <c r="G9" s="557"/>
      <c r="H9" s="557"/>
      <c r="I9" s="557"/>
      <c r="J9" s="557"/>
      <c r="K9" s="557"/>
      <c r="L9" s="557"/>
      <c r="M9" s="46"/>
      <c r="N9" s="41"/>
      <c r="O9" s="41"/>
      <c r="P9" s="41"/>
    </row>
    <row r="10" spans="1:20" ht="4" customHeight="1">
      <c r="F10" s="557"/>
      <c r="G10" s="557"/>
      <c r="H10" s="557"/>
      <c r="I10" s="557"/>
      <c r="J10" s="557"/>
      <c r="K10" s="557"/>
      <c r="L10" s="557"/>
      <c r="M10" s="39"/>
      <c r="N10" s="41"/>
      <c r="O10" s="41"/>
      <c r="P10" s="41"/>
    </row>
    <row r="11" spans="1:20" ht="30" hidden="1" customHeight="1">
      <c r="A11" s="47" t="s">
        <v>53</v>
      </c>
      <c r="B11" s="805">
        <v>0</v>
      </c>
      <c r="C11" s="805"/>
      <c r="D11" s="803" t="s">
        <v>130</v>
      </c>
      <c r="E11" s="804"/>
      <c r="F11" s="557"/>
      <c r="G11" s="557"/>
      <c r="H11" s="557"/>
      <c r="I11" s="557"/>
      <c r="J11" s="557"/>
      <c r="K11" s="557"/>
      <c r="L11" s="557"/>
      <c r="M11" s="49"/>
      <c r="N11" s="41"/>
      <c r="O11" s="41"/>
      <c r="P11" s="41"/>
    </row>
    <row r="12" spans="1:20" ht="16.5" customHeight="1">
      <c r="N12" s="41"/>
      <c r="O12" s="41"/>
      <c r="P12" s="41"/>
      <c r="T12" s="51" t="s">
        <v>56</v>
      </c>
    </row>
    <row r="13" spans="1:20" ht="22.5" customHeight="1" thickBot="1">
      <c r="A13" s="52" t="s">
        <v>57</v>
      </c>
      <c r="B13" s="53"/>
      <c r="C13" s="54"/>
      <c r="D13" s="92"/>
    </row>
    <row r="14" spans="1:20" ht="32.15" customHeight="1" thickTop="1">
      <c r="A14" s="308" t="s">
        <v>380</v>
      </c>
      <c r="B14" s="368" t="s">
        <v>448</v>
      </c>
      <c r="C14" s="308" t="s">
        <v>59</v>
      </c>
      <c r="D14" s="309" t="s">
        <v>60</v>
      </c>
    </row>
    <row r="15" spans="1:20" ht="25.5" customHeight="1">
      <c r="A15" s="837" t="s">
        <v>425</v>
      </c>
      <c r="B15" s="575">
        <f>B8*50%</f>
        <v>40000</v>
      </c>
      <c r="C15" s="565">
        <f>B8-B15</f>
        <v>40000</v>
      </c>
      <c r="D15" s="406">
        <f>C15/B8</f>
        <v>0.5</v>
      </c>
    </row>
    <row r="16" spans="1:20" ht="33.65" customHeight="1">
      <c r="A16" s="837"/>
      <c r="B16" s="305" t="s">
        <v>61</v>
      </c>
      <c r="C16" s="567" t="s">
        <v>234</v>
      </c>
      <c r="D16" s="563" t="s">
        <v>449</v>
      </c>
      <c r="E16" s="566" t="s">
        <v>450</v>
      </c>
      <c r="F16" s="558" t="s">
        <v>451</v>
      </c>
      <c r="G16" s="47" t="s">
        <v>452</v>
      </c>
      <c r="H16" s="564" t="s">
        <v>426</v>
      </c>
      <c r="I16" s="573"/>
      <c r="J16" s="506"/>
      <c r="K16" s="316" t="s">
        <v>453</v>
      </c>
      <c r="L16" s="47" t="s">
        <v>447</v>
      </c>
    </row>
    <row r="17" spans="1:12" ht="32.15" customHeight="1">
      <c r="A17" s="837"/>
      <c r="B17" s="570" t="s">
        <v>207</v>
      </c>
      <c r="C17" s="568">
        <f>ROUNDUP(PMT(VLOOKUP(B4,'参数-车系车型 利率'!B:I,8,0)/12,12,-B15,C19)-H17/12,2)</f>
        <v>28.59</v>
      </c>
      <c r="D17" s="908">
        <f>C17*12</f>
        <v>343.08</v>
      </c>
      <c r="E17" s="909">
        <f>RATE(12,-C17,B15,-C19)*12</f>
        <v>8.5770000008535269E-3</v>
      </c>
      <c r="F17" s="909">
        <f>D17/B15/1</f>
        <v>8.5769999999999996E-3</v>
      </c>
      <c r="G17" s="909">
        <f>D17/B15</f>
        <v>8.5769999999999996E-3</v>
      </c>
      <c r="H17" s="910">
        <f>VLOOKUP($B$4,'厂贴车型明细&amp;贷款金额说明'!C:E,3,0)</f>
        <v>2052.96</v>
      </c>
      <c r="I17" s="406"/>
      <c r="J17" s="406"/>
      <c r="K17" s="910">
        <f>VLOOKUP($B$4,'厂贴车型明细&amp;贷款金额说明'!C:O,13,0)*2</f>
        <v>60000</v>
      </c>
      <c r="L17" s="911" t="str">
        <f>VLOOKUP(B4,'参数-方案配置'!C:E,3,0)</f>
        <v>个人申请：厂贴_5.99贴息_5050_12期</v>
      </c>
    </row>
    <row r="18" spans="1:12" ht="32.15" customHeight="1">
      <c r="A18" s="837"/>
      <c r="B18" s="571" t="s">
        <v>455</v>
      </c>
      <c r="C18" s="568">
        <f>B15+C17</f>
        <v>40028.589999999997</v>
      </c>
      <c r="D18" s="908"/>
      <c r="E18" s="909"/>
      <c r="F18" s="909"/>
      <c r="G18" s="909"/>
      <c r="H18" s="910"/>
      <c r="I18" s="406"/>
      <c r="J18" s="406"/>
      <c r="K18" s="910"/>
      <c r="L18" s="911"/>
    </row>
    <row r="19" spans="1:12" ht="17" thickBot="1">
      <c r="A19" s="511"/>
      <c r="B19" s="511"/>
      <c r="C19" s="576">
        <f>B15</f>
        <v>40000</v>
      </c>
      <c r="D19" s="574"/>
    </row>
    <row r="20" spans="1:12" ht="31.5" customHeight="1">
      <c r="A20" s="308" t="s">
        <v>72</v>
      </c>
      <c r="B20" s="368" t="s">
        <v>439</v>
      </c>
      <c r="C20" s="308" t="s">
        <v>59</v>
      </c>
      <c r="D20" s="309" t="s">
        <v>60</v>
      </c>
      <c r="E20" s="342" t="s">
        <v>553</v>
      </c>
      <c r="F20" s="344">
        <v>0.2</v>
      </c>
      <c r="G20" s="271"/>
      <c r="H20" s="271"/>
    </row>
    <row r="21" spans="1:12" ht="31.5" customHeight="1">
      <c r="A21" s="837" t="s">
        <v>441</v>
      </c>
      <c r="B21" s="559">
        <f>VLOOKUP(B4,'参数-车系车型 利率'!B:M,10,0)</f>
        <v>0</v>
      </c>
      <c r="C21" s="565">
        <f>B8-B21</f>
        <v>80000</v>
      </c>
      <c r="D21" s="406">
        <f>C21/B8</f>
        <v>1</v>
      </c>
      <c r="E21" s="271"/>
      <c r="F21" s="271"/>
      <c r="G21" s="271"/>
      <c r="H21" s="271"/>
    </row>
    <row r="22" spans="1:12" ht="3.5" customHeight="1">
      <c r="A22" s="837"/>
      <c r="B22" s="271"/>
      <c r="C22" s="271"/>
      <c r="D22" s="271"/>
      <c r="E22" s="271"/>
      <c r="F22" s="271"/>
      <c r="G22" s="271"/>
      <c r="H22" s="271"/>
    </row>
    <row r="23" spans="1:12" ht="31.5" customHeight="1">
      <c r="A23" s="837"/>
      <c r="B23" s="569" t="s">
        <v>61</v>
      </c>
      <c r="C23" s="314" t="s">
        <v>234</v>
      </c>
      <c r="D23" s="316" t="s">
        <v>198</v>
      </c>
      <c r="E23" s="356" t="s">
        <v>276</v>
      </c>
      <c r="F23" s="316" t="s">
        <v>277</v>
      </c>
      <c r="G23" s="506" t="s">
        <v>452</v>
      </c>
      <c r="H23" s="564" t="s">
        <v>426</v>
      </c>
      <c r="I23" s="316"/>
      <c r="J23" s="215"/>
      <c r="K23" s="906" t="s">
        <v>440</v>
      </c>
      <c r="L23" s="907"/>
    </row>
    <row r="24" spans="1:12" ht="20.5" customHeight="1">
      <c r="A24" s="837"/>
      <c r="B24" s="570" t="s">
        <v>428</v>
      </c>
      <c r="C24" s="572" t="e">
        <f>E24/12*B21</f>
        <v>#VALUE!</v>
      </c>
      <c r="D24" s="886" t="e">
        <f>C24*6+C26*6+C28*6+C30*6</f>
        <v>#VALUE!</v>
      </c>
      <c r="E24" s="887" t="str">
        <f>VLOOKUP(B4,'参数-车系车型 利率'!B:M,9,0)</f>
        <v>无方案</v>
      </c>
      <c r="F24" s="890" t="e">
        <f>D24/B21/2</f>
        <v>#VALUE!</v>
      </c>
      <c r="G24" s="891" t="e">
        <f>D24/B21</f>
        <v>#VALUE!</v>
      </c>
      <c r="H24" s="894">
        <f>VLOOKUP(B4,'参数-车系车型 利率'!B:M,11,0)</f>
        <v>0</v>
      </c>
      <c r="I24" s="512"/>
      <c r="J24" s="897"/>
      <c r="K24" s="900" t="str">
        <f>VLOOKUP(B4,'参数-方案配置'!C:F,4,0)</f>
        <v>无方案</v>
      </c>
      <c r="L24" s="901"/>
    </row>
    <row r="25" spans="1:12" ht="20.5" customHeight="1">
      <c r="A25" s="837"/>
      <c r="B25" s="571" t="s">
        <v>429</v>
      </c>
      <c r="C25" s="572" t="e">
        <f>E24/12*B21+B21*25%</f>
        <v>#VALUE!</v>
      </c>
      <c r="D25" s="886"/>
      <c r="E25" s="888"/>
      <c r="F25" s="890"/>
      <c r="G25" s="892"/>
      <c r="H25" s="895"/>
      <c r="I25" s="513"/>
      <c r="J25" s="898"/>
      <c r="K25" s="902"/>
      <c r="L25" s="903"/>
    </row>
    <row r="26" spans="1:12" ht="20.5" customHeight="1">
      <c r="A26" s="837"/>
      <c r="B26" s="570" t="s">
        <v>430</v>
      </c>
      <c r="C26" s="572" t="e">
        <f>E24/12*(B21*75%)</f>
        <v>#VALUE!</v>
      </c>
      <c r="D26" s="886"/>
      <c r="E26" s="888"/>
      <c r="F26" s="890"/>
      <c r="G26" s="892"/>
      <c r="H26" s="895"/>
      <c r="I26" s="513"/>
      <c r="J26" s="898"/>
      <c r="K26" s="902"/>
      <c r="L26" s="903"/>
    </row>
    <row r="27" spans="1:12" ht="20.5" customHeight="1">
      <c r="A27" s="837"/>
      <c r="B27" s="571" t="s">
        <v>43</v>
      </c>
      <c r="C27" s="572" t="e">
        <f>E24/12*(B21*75%)+B21*25%</f>
        <v>#VALUE!</v>
      </c>
      <c r="D27" s="886"/>
      <c r="E27" s="888"/>
      <c r="F27" s="890"/>
      <c r="G27" s="892"/>
      <c r="H27" s="895"/>
      <c r="I27" s="513"/>
      <c r="J27" s="898"/>
      <c r="K27" s="902"/>
      <c r="L27" s="903"/>
    </row>
    <row r="28" spans="1:12" ht="20.5" customHeight="1">
      <c r="A28" s="837"/>
      <c r="B28" s="570" t="s">
        <v>431</v>
      </c>
      <c r="C28" s="572" t="e">
        <f>E24/12*(B21*50%)</f>
        <v>#VALUE!</v>
      </c>
      <c r="D28" s="886"/>
      <c r="E28" s="888"/>
      <c r="F28" s="890"/>
      <c r="G28" s="892"/>
      <c r="H28" s="895"/>
      <c r="I28" s="513"/>
      <c r="J28" s="898"/>
      <c r="K28" s="902"/>
      <c r="L28" s="903"/>
    </row>
    <row r="29" spans="1:12" ht="20.5" customHeight="1">
      <c r="A29" s="837"/>
      <c r="B29" s="571" t="s">
        <v>42</v>
      </c>
      <c r="C29" s="572" t="e">
        <f>E24/12*(B21*50%)+B21*25%</f>
        <v>#VALUE!</v>
      </c>
      <c r="D29" s="886"/>
      <c r="E29" s="888"/>
      <c r="F29" s="890"/>
      <c r="G29" s="892"/>
      <c r="H29" s="895"/>
      <c r="I29" s="513"/>
      <c r="J29" s="898"/>
      <c r="K29" s="902"/>
      <c r="L29" s="903"/>
    </row>
    <row r="30" spans="1:12" ht="20.5" customHeight="1">
      <c r="A30" s="837"/>
      <c r="B30" s="570" t="s">
        <v>432</v>
      </c>
      <c r="C30" s="572" t="e">
        <f>E24/12*(B21*25%)</f>
        <v>#VALUE!</v>
      </c>
      <c r="D30" s="886"/>
      <c r="E30" s="888"/>
      <c r="F30" s="890"/>
      <c r="G30" s="892"/>
      <c r="H30" s="895"/>
      <c r="I30" s="513"/>
      <c r="J30" s="898"/>
      <c r="K30" s="902"/>
      <c r="L30" s="903"/>
    </row>
    <row r="31" spans="1:12" ht="20.5" customHeight="1">
      <c r="A31" s="837"/>
      <c r="B31" s="571" t="s">
        <v>433</v>
      </c>
      <c r="C31" s="572" t="e">
        <f>E24/12*(B21*25%)+B21*25%</f>
        <v>#VALUE!</v>
      </c>
      <c r="D31" s="886"/>
      <c r="E31" s="889"/>
      <c r="F31" s="890"/>
      <c r="G31" s="893"/>
      <c r="H31" s="896"/>
      <c r="I31" s="514"/>
      <c r="J31" s="899"/>
      <c r="K31" s="904"/>
      <c r="L31" s="905"/>
    </row>
    <row r="32" spans="1:12" ht="31.5" customHeight="1">
      <c r="K32" s="885" t="s">
        <v>434</v>
      </c>
      <c r="L32" s="885"/>
    </row>
  </sheetData>
  <sheetProtection algorithmName="SHA-512" hashValue="YusL/W4gMicRU5OseJ8Xdvwr560RFAH63XjAeqS5erMbu4YwIzMuAnSkjyIxlFBhopx0Ms9B4HvgGYDp7aI2pQ==" saltValue="0QtaFNy+j5XOKHp9nI7QgA==" spinCount="100000" sheet="1" objects="1" scenarios="1"/>
  <mergeCells count="29">
    <mergeCell ref="A15:A18"/>
    <mergeCell ref="K24:L31"/>
    <mergeCell ref="K23:L23"/>
    <mergeCell ref="D17:D18"/>
    <mergeCell ref="E17:E18"/>
    <mergeCell ref="F17:F18"/>
    <mergeCell ref="G17:G18"/>
    <mergeCell ref="H17:H18"/>
    <mergeCell ref="K17:K18"/>
    <mergeCell ref="L17:L18"/>
    <mergeCell ref="K32:L32"/>
    <mergeCell ref="A21:A31"/>
    <mergeCell ref="D24:D31"/>
    <mergeCell ref="E24:E31"/>
    <mergeCell ref="F24:F31"/>
    <mergeCell ref="G24:G31"/>
    <mergeCell ref="H24:H31"/>
    <mergeCell ref="J24:J31"/>
    <mergeCell ref="D11:E11"/>
    <mergeCell ref="B7:C7"/>
    <mergeCell ref="B8:C8"/>
    <mergeCell ref="B9:C9"/>
    <mergeCell ref="B11:C11"/>
    <mergeCell ref="L2:L3"/>
    <mergeCell ref="B3:C3"/>
    <mergeCell ref="B4:C4"/>
    <mergeCell ref="B5:C5"/>
    <mergeCell ref="B6:C6"/>
    <mergeCell ref="F4:L8"/>
  </mergeCells>
  <phoneticPr fontId="1" type="noConversion"/>
  <conditionalFormatting sqref="C17:G17 C18">
    <cfRule type="expression" dxfId="80" priority="1">
      <formula>$C$17&lt;0</formula>
    </cfRule>
    <cfRule type="expression" dxfId="79" priority="464">
      <formula>$B$8&lt;$K$17</formula>
    </cfRule>
  </conditionalFormatting>
  <conditionalFormatting sqref="D3">
    <cfRule type="expression" dxfId="78" priority="37">
      <formula>$B$3="新君威"</formula>
    </cfRule>
  </conditionalFormatting>
  <conditionalFormatting sqref="D11">
    <cfRule type="expression" dxfId="77" priority="40">
      <formula>$B$11&gt;0</formula>
    </cfRule>
  </conditionalFormatting>
  <conditionalFormatting sqref="D8:E8">
    <cfRule type="expression" priority="2">
      <formula>$B$8&gt;$E$8</formula>
    </cfRule>
  </conditionalFormatting>
  <conditionalFormatting sqref="E20:F20">
    <cfRule type="expression" dxfId="76" priority="26">
      <formula>$D$21&lt;$F$20</formula>
    </cfRule>
  </conditionalFormatting>
  <conditionalFormatting sqref="K17">
    <cfRule type="expression" dxfId="75" priority="462">
      <formula>$B$8&lt;$K$17</formula>
    </cfRule>
  </conditionalFormatting>
  <dataValidations count="2">
    <dataValidation type="list" allowBlank="1" showInputMessage="1" showErrorMessage="1" sqref="B3:C3" xr:uid="{776F4DF6-AAEF-4E0A-9B64-B241069767A3}">
      <formula1>_5050车系</formula1>
    </dataValidation>
    <dataValidation type="list" allowBlank="1" showInputMessage="1" showErrorMessage="1" sqref="B4" xr:uid="{E6C2C77F-CC31-49F6-8BB1-7E4466C73CB1}">
      <formula1>INDIRECT($B$3)</formula1>
    </dataValidation>
  </dataValidations>
  <hyperlinks>
    <hyperlink ref="L2" location="试算路径!A1" display="返回" xr:uid="{E281BD40-31F0-46DA-A3DA-BB4D3484AB25}"/>
    <hyperlink ref="L2:L3" location="试算路径及方案简述!A1" display="返回" xr:uid="{224D7F74-D452-4B5A-AF5C-350D84646464}"/>
  </hyperlinks>
  <pageMargins left="0.7" right="0.7" top="0.75" bottom="0.75" header="0.3" footer="0.3"/>
  <pageSetup orientation="portrait" horizontalDpi="300" verticalDpi="0" copies="0"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tabColor theme="5"/>
  </sheetPr>
  <dimension ref="B1:O79"/>
  <sheetViews>
    <sheetView topLeftCell="D2" zoomScale="60" zoomScaleNormal="60" workbookViewId="0">
      <selection activeCell="O19" sqref="O19"/>
    </sheetView>
  </sheetViews>
  <sheetFormatPr defaultColWidth="8.75" defaultRowHeight="20.149999999999999" customHeight="1"/>
  <cols>
    <col min="1" max="1" width="1.58203125" style="23" customWidth="1"/>
    <col min="2" max="2" width="25.9140625" style="95" customWidth="1"/>
    <col min="3" max="3" width="16.4140625" style="23" customWidth="1"/>
    <col min="4" max="4" width="17.4140625" style="23" customWidth="1"/>
    <col min="5" max="5" width="17.33203125" style="23" customWidth="1"/>
    <col min="6" max="6" width="16.58203125" style="23" customWidth="1"/>
    <col min="7" max="8" width="16.58203125" style="95" customWidth="1"/>
    <col min="9" max="9" width="64.58203125" style="23" customWidth="1"/>
    <col min="10" max="10" width="5.75" style="23" customWidth="1"/>
    <col min="11" max="11" width="13.25" style="172" customWidth="1"/>
    <col min="12" max="12" width="11.33203125" style="23" customWidth="1"/>
    <col min="13" max="13" width="6.58203125" style="23" customWidth="1"/>
    <col min="14" max="14" width="13.4140625" style="23" customWidth="1"/>
    <col min="15" max="15" width="26" style="23" customWidth="1"/>
    <col min="16" max="16" width="2.33203125" style="23" customWidth="1"/>
    <col min="17" max="17" width="8.75" style="23"/>
    <col min="18" max="19" width="11.25" style="23" customWidth="1"/>
    <col min="20" max="16384" width="8.75" style="23"/>
  </cols>
  <sheetData>
    <row r="1" spans="2:15" ht="56.15" customHeight="1">
      <c r="I1" s="354" t="s">
        <v>44</v>
      </c>
    </row>
    <row r="2" spans="2:15" ht="19" customHeight="1">
      <c r="B2" s="243" t="s">
        <v>338</v>
      </c>
      <c r="C2" s="24"/>
      <c r="L2" s="921"/>
    </row>
    <row r="3" spans="2:15" ht="35.5" hidden="1" customHeight="1">
      <c r="B3" s="30" t="s">
        <v>196</v>
      </c>
      <c r="C3" s="174">
        <v>0.11600000000000001</v>
      </c>
      <c r="D3" s="175"/>
      <c r="E3" s="176"/>
      <c r="F3" s="176"/>
      <c r="L3" s="921"/>
    </row>
    <row r="4" spans="2:15" ht="30" customHeight="1">
      <c r="B4" s="30" t="s">
        <v>288</v>
      </c>
      <c r="C4" s="177">
        <v>356300</v>
      </c>
      <c r="D4" s="178"/>
      <c r="E4" s="176"/>
      <c r="F4" s="176"/>
    </row>
    <row r="5" spans="2:15" ht="34" customHeight="1">
      <c r="B5" s="390" t="s">
        <v>318</v>
      </c>
      <c r="C5" s="177">
        <v>42000</v>
      </c>
      <c r="D5" s="178"/>
      <c r="E5" s="176"/>
      <c r="F5" s="176"/>
    </row>
    <row r="6" spans="2:15" ht="30" customHeight="1">
      <c r="B6" s="42" t="s">
        <v>49</v>
      </c>
      <c r="C6" s="181">
        <f>C4+C5</f>
        <v>398300</v>
      </c>
      <c r="D6" s="178"/>
      <c r="E6" s="176"/>
      <c r="F6" s="176"/>
    </row>
    <row r="7" spans="2:15" ht="30" customHeight="1">
      <c r="B7" s="179" t="s">
        <v>566</v>
      </c>
      <c r="C7" s="177">
        <v>200000</v>
      </c>
      <c r="D7" s="830" t="s">
        <v>319</v>
      </c>
      <c r="E7" s="922"/>
      <c r="F7" s="922"/>
    </row>
    <row r="8" spans="2:15" ht="30" customHeight="1">
      <c r="B8" s="180" t="s">
        <v>59</v>
      </c>
      <c r="C8" s="181">
        <f>C6-C7</f>
        <v>198300</v>
      </c>
      <c r="D8" s="182"/>
    </row>
    <row r="9" spans="2:15" ht="30" customHeight="1">
      <c r="B9" s="47" t="s">
        <v>60</v>
      </c>
      <c r="C9" s="183">
        <f>C8/C6</f>
        <v>0.49786593020336428</v>
      </c>
      <c r="D9" s="923" t="s">
        <v>197</v>
      </c>
      <c r="E9" s="924"/>
    </row>
    <row r="10" spans="2:15" ht="11.15" customHeight="1"/>
    <row r="11" spans="2:15" ht="30" customHeight="1">
      <c r="B11" s="184" t="s">
        <v>57</v>
      </c>
      <c r="E11" s="184"/>
      <c r="F11" s="184"/>
      <c r="I11" s="95"/>
      <c r="J11" s="95"/>
      <c r="K11" s="184"/>
      <c r="L11" s="60" t="s">
        <v>379</v>
      </c>
    </row>
    <row r="12" spans="2:15" ht="30" customHeight="1">
      <c r="B12" s="229" t="s">
        <v>380</v>
      </c>
      <c r="C12" s="246" t="s">
        <v>61</v>
      </c>
      <c r="D12" s="247" t="s">
        <v>234</v>
      </c>
      <c r="E12" s="248" t="s">
        <v>344</v>
      </c>
      <c r="F12" s="249" t="s">
        <v>62</v>
      </c>
      <c r="G12" s="249" t="s">
        <v>63</v>
      </c>
      <c r="H12" s="56" t="s">
        <v>305</v>
      </c>
      <c r="I12" s="551" t="s">
        <v>440</v>
      </c>
      <c r="J12" s="185"/>
      <c r="K12" s="49" t="s">
        <v>67</v>
      </c>
      <c r="L12" s="912">
        <v>12</v>
      </c>
      <c r="M12" s="913"/>
      <c r="N12" s="456" t="s">
        <v>377</v>
      </c>
      <c r="O12" s="66"/>
    </row>
    <row r="13" spans="2:15" ht="39" customHeight="1">
      <c r="B13" s="230" t="s">
        <v>382</v>
      </c>
      <c r="C13" s="244" t="s">
        <v>38</v>
      </c>
      <c r="D13" s="273">
        <f>ROUNDUP(PMT($C$3/12,60,-$C$7),2)</f>
        <v>4408.5700000000006</v>
      </c>
      <c r="E13" s="416">
        <f>D13*60-C7</f>
        <v>64514.200000000012</v>
      </c>
      <c r="F13" s="245">
        <f>RATE(60,-D13,$C$7)*12</f>
        <v>0.11600013649425442</v>
      </c>
      <c r="G13" s="245">
        <f>E13/$C$7/5</f>
        <v>6.4514200000000008E-2</v>
      </c>
      <c r="H13" s="362">
        <f>E13/$C$7</f>
        <v>0.32257100000000005</v>
      </c>
      <c r="I13" s="396" t="s">
        <v>384</v>
      </c>
      <c r="J13" s="59"/>
      <c r="K13" s="49" t="s">
        <v>69</v>
      </c>
      <c r="L13" s="914">
        <f>C7-(D13*L12-L15)</f>
        <v>168665.97638822906</v>
      </c>
      <c r="M13" s="915"/>
      <c r="N13" s="68"/>
      <c r="O13" s="66"/>
    </row>
    <row r="14" spans="2:15" ht="30" customHeight="1">
      <c r="B14" s="916"/>
      <c r="C14" s="916"/>
      <c r="D14" s="186"/>
      <c r="G14" s="23"/>
      <c r="H14" s="23"/>
      <c r="K14" s="49" t="s">
        <v>76</v>
      </c>
      <c r="L14" s="919">
        <f>E13-L15</f>
        <v>42945.383611770943</v>
      </c>
      <c r="M14" s="920"/>
      <c r="N14" s="68"/>
      <c r="O14" s="66"/>
    </row>
    <row r="15" spans="2:15" ht="14.15" customHeight="1">
      <c r="B15" s="187"/>
      <c r="G15" s="23"/>
      <c r="H15" s="23"/>
      <c r="K15" s="71" t="s">
        <v>71</v>
      </c>
      <c r="L15" s="782">
        <f>(C7*(F13/12)-D13)*((1+(F13/12))^(L12)-1)/(F13/12)+(D13)*L12</f>
        <v>21568.816388229072</v>
      </c>
      <c r="M15" s="782"/>
    </row>
    <row r="16" spans="2:15" s="191" customFormat="1" ht="7" customHeight="1">
      <c r="B16" s="188"/>
      <c r="C16" s="189"/>
      <c r="D16" s="190"/>
      <c r="G16" s="192"/>
      <c r="H16" s="192"/>
      <c r="K16" s="193"/>
    </row>
    <row r="17" spans="2:15" ht="30" customHeight="1">
      <c r="B17" s="184"/>
      <c r="E17" s="184"/>
      <c r="F17" s="184"/>
      <c r="I17" s="95"/>
      <c r="J17" s="95"/>
      <c r="K17" s="184"/>
      <c r="L17" s="60" t="s">
        <v>379</v>
      </c>
    </row>
    <row r="18" spans="2:15" ht="30" customHeight="1">
      <c r="B18" s="229" t="s">
        <v>381</v>
      </c>
      <c r="C18" s="246" t="s">
        <v>61</v>
      </c>
      <c r="D18" s="247" t="s">
        <v>234</v>
      </c>
      <c r="E18" s="248" t="s">
        <v>344</v>
      </c>
      <c r="F18" s="249" t="s">
        <v>62</v>
      </c>
      <c r="G18" s="249" t="s">
        <v>63</v>
      </c>
      <c r="H18" s="56" t="s">
        <v>305</v>
      </c>
      <c r="I18" s="551" t="s">
        <v>440</v>
      </c>
      <c r="J18" s="185"/>
      <c r="K18" s="49" t="s">
        <v>67</v>
      </c>
      <c r="L18" s="912">
        <v>30</v>
      </c>
      <c r="M18" s="913"/>
      <c r="N18" s="456" t="s">
        <v>377</v>
      </c>
      <c r="O18" s="66"/>
    </row>
    <row r="19" spans="2:15" ht="40" customHeight="1">
      <c r="B19" s="230" t="s">
        <v>383</v>
      </c>
      <c r="C19" s="244" t="s">
        <v>38</v>
      </c>
      <c r="D19" s="273">
        <f>ROUNDUP(PMT($C$3/12,60,-$C$7)-G20/60,2)</f>
        <v>4406.91</v>
      </c>
      <c r="E19" s="416">
        <f>D19*60-C7</f>
        <v>64414.599999999977</v>
      </c>
      <c r="F19" s="245">
        <f>RATE(60,-D19,$C$7)*12</f>
        <v>0.11583500644025367</v>
      </c>
      <c r="G19" s="245">
        <f>E19/$C$7/5</f>
        <v>6.4414599999999975E-2</v>
      </c>
      <c r="H19" s="362">
        <f>E19/$C$7</f>
        <v>0.32207299999999989</v>
      </c>
      <c r="I19" s="396" t="s">
        <v>376</v>
      </c>
      <c r="J19" s="59"/>
      <c r="K19" s="49" t="s">
        <v>69</v>
      </c>
      <c r="L19" s="914">
        <f>C7-(D19*L18-L21)</f>
        <v>114311.02068241029</v>
      </c>
      <c r="M19" s="915"/>
      <c r="N19" s="68"/>
      <c r="O19" s="66"/>
    </row>
    <row r="20" spans="2:15" ht="30" customHeight="1">
      <c r="B20" s="916"/>
      <c r="C20" s="916"/>
      <c r="D20" s="186"/>
      <c r="F20" s="194" t="s">
        <v>268</v>
      </c>
      <c r="G20" s="195">
        <v>100</v>
      </c>
      <c r="H20" s="917" t="s">
        <v>200</v>
      </c>
      <c r="I20" s="918"/>
      <c r="K20" s="49" t="s">
        <v>76</v>
      </c>
      <c r="L20" s="919">
        <f>E19-L21</f>
        <v>17896.279317589695</v>
      </c>
      <c r="M20" s="920"/>
      <c r="N20" s="68"/>
      <c r="O20" s="66"/>
    </row>
    <row r="21" spans="2:15" ht="13.5" customHeight="1">
      <c r="B21" s="187"/>
      <c r="C21" s="196"/>
      <c r="D21" s="196"/>
      <c r="L21" s="27">
        <f>(C7*(F19/12)-D19)*((1+(F19/12))^(L18)-1)/(F19/12)+(D19)*L18</f>
        <v>46518.320682410282</v>
      </c>
    </row>
    <row r="22" spans="2:15" ht="30" customHeight="1">
      <c r="B22" s="196"/>
      <c r="C22" s="196"/>
      <c r="D22" s="196"/>
    </row>
    <row r="23" spans="2:15" ht="30" customHeight="1">
      <c r="B23" s="196"/>
      <c r="C23" s="196"/>
      <c r="D23" s="196"/>
    </row>
    <row r="24" spans="2:15" ht="30" customHeight="1">
      <c r="B24" s="196"/>
      <c r="C24" s="197"/>
      <c r="D24" s="196"/>
    </row>
    <row r="25" spans="2:15" ht="30" customHeight="1">
      <c r="B25" s="196"/>
      <c r="C25" s="198"/>
      <c r="D25" s="197"/>
    </row>
    <row r="26" spans="2:15" ht="30" customHeight="1">
      <c r="B26" s="196"/>
      <c r="C26" s="197"/>
      <c r="D26" s="198"/>
    </row>
    <row r="27" spans="2:15" ht="30" customHeight="1">
      <c r="B27" s="196"/>
      <c r="C27" s="196"/>
      <c r="D27" s="197"/>
    </row>
    <row r="28" spans="2:15" ht="30" customHeight="1">
      <c r="B28" s="196"/>
      <c r="C28" s="197"/>
      <c r="D28" s="196"/>
    </row>
    <row r="29" spans="2:15" ht="20.149999999999999" customHeight="1">
      <c r="B29" s="196"/>
      <c r="C29" s="198"/>
      <c r="D29" s="197"/>
    </row>
    <row r="30" spans="2:15" ht="20.149999999999999" customHeight="1">
      <c r="B30" s="196"/>
      <c r="C30" s="198"/>
      <c r="D30" s="198"/>
    </row>
    <row r="31" spans="2:15" ht="20.149999999999999" customHeight="1">
      <c r="B31" s="196"/>
      <c r="C31" s="198"/>
      <c r="D31" s="198"/>
    </row>
    <row r="32" spans="2:15" ht="20.149999999999999" customHeight="1">
      <c r="B32" s="196"/>
      <c r="C32" s="198"/>
      <c r="D32" s="198"/>
    </row>
    <row r="33" spans="2:4" ht="20.149999999999999" customHeight="1">
      <c r="B33" s="196"/>
      <c r="C33" s="198"/>
      <c r="D33" s="198"/>
    </row>
    <row r="34" spans="2:4" ht="20.149999999999999" customHeight="1">
      <c r="B34" s="196"/>
      <c r="C34" s="198"/>
      <c r="D34" s="198"/>
    </row>
    <row r="35" spans="2:4" ht="20.149999999999999" customHeight="1">
      <c r="B35" s="196"/>
      <c r="C35" s="198"/>
      <c r="D35" s="198"/>
    </row>
    <row r="36" spans="2:4" ht="20.149999999999999" customHeight="1">
      <c r="B36" s="196"/>
      <c r="C36" s="198"/>
      <c r="D36" s="198"/>
    </row>
    <row r="37" spans="2:4" ht="20.149999999999999" customHeight="1">
      <c r="B37" s="196"/>
      <c r="C37" s="198"/>
      <c r="D37" s="198"/>
    </row>
    <row r="38" spans="2:4" ht="20.149999999999999" customHeight="1">
      <c r="B38" s="196"/>
      <c r="C38" s="198"/>
      <c r="D38" s="198"/>
    </row>
    <row r="39" spans="2:4" ht="20.149999999999999" customHeight="1">
      <c r="B39" s="196"/>
      <c r="C39" s="198"/>
      <c r="D39" s="198"/>
    </row>
    <row r="40" spans="2:4" ht="20.149999999999999" customHeight="1">
      <c r="B40" s="196"/>
      <c r="C40" s="198"/>
      <c r="D40" s="198"/>
    </row>
    <row r="41" spans="2:4" ht="20.149999999999999" customHeight="1">
      <c r="B41" s="196"/>
      <c r="C41" s="198"/>
      <c r="D41" s="198"/>
    </row>
    <row r="42" spans="2:4" ht="20.149999999999999" customHeight="1">
      <c r="B42" s="196"/>
      <c r="C42" s="198"/>
      <c r="D42" s="198"/>
    </row>
    <row r="43" spans="2:4" ht="20.149999999999999" customHeight="1">
      <c r="B43" s="196"/>
      <c r="C43" s="198"/>
      <c r="D43" s="198"/>
    </row>
    <row r="44" spans="2:4" ht="20.149999999999999" customHeight="1">
      <c r="B44" s="196"/>
      <c r="C44" s="198"/>
      <c r="D44" s="198"/>
    </row>
    <row r="45" spans="2:4" ht="20.149999999999999" customHeight="1">
      <c r="B45" s="196"/>
      <c r="C45" s="198"/>
      <c r="D45" s="198"/>
    </row>
    <row r="46" spans="2:4" ht="20.149999999999999" customHeight="1">
      <c r="B46" s="196"/>
      <c r="C46" s="198"/>
      <c r="D46" s="198"/>
    </row>
    <row r="47" spans="2:4" ht="20.149999999999999" customHeight="1">
      <c r="B47" s="196"/>
      <c r="C47" s="198"/>
      <c r="D47" s="198"/>
    </row>
    <row r="48" spans="2:4" ht="20.149999999999999" customHeight="1">
      <c r="B48" s="196"/>
      <c r="C48" s="198"/>
      <c r="D48" s="198"/>
    </row>
    <row r="49" spans="2:4" ht="20.149999999999999" customHeight="1">
      <c r="B49" s="196"/>
      <c r="C49" s="198"/>
      <c r="D49" s="198"/>
    </row>
    <row r="50" spans="2:4" ht="20.149999999999999" customHeight="1">
      <c r="B50" s="196"/>
      <c r="C50" s="198"/>
      <c r="D50" s="198"/>
    </row>
    <row r="51" spans="2:4" ht="20.149999999999999" customHeight="1">
      <c r="B51" s="196"/>
      <c r="C51" s="198"/>
      <c r="D51" s="198"/>
    </row>
    <row r="52" spans="2:4" ht="20.149999999999999" customHeight="1">
      <c r="B52" s="196"/>
      <c r="C52" s="198"/>
      <c r="D52" s="198"/>
    </row>
    <row r="53" spans="2:4" ht="20.149999999999999" customHeight="1">
      <c r="B53" s="196"/>
      <c r="C53" s="198"/>
      <c r="D53" s="198"/>
    </row>
    <row r="54" spans="2:4" ht="20.149999999999999" customHeight="1">
      <c r="B54" s="196"/>
      <c r="C54" s="198"/>
      <c r="D54" s="198"/>
    </row>
    <row r="55" spans="2:4" ht="20.149999999999999" customHeight="1">
      <c r="B55" s="196"/>
      <c r="C55" s="198"/>
      <c r="D55" s="198"/>
    </row>
    <row r="56" spans="2:4" ht="20.149999999999999" customHeight="1">
      <c r="B56" s="196"/>
      <c r="C56" s="198"/>
      <c r="D56" s="198"/>
    </row>
    <row r="57" spans="2:4" ht="20.149999999999999" customHeight="1">
      <c r="B57" s="196"/>
      <c r="C57" s="198"/>
      <c r="D57" s="198"/>
    </row>
    <row r="58" spans="2:4" ht="20.149999999999999" customHeight="1">
      <c r="B58" s="196"/>
      <c r="C58" s="198"/>
      <c r="D58" s="198"/>
    </row>
    <row r="59" spans="2:4" ht="20.149999999999999" customHeight="1">
      <c r="B59" s="196"/>
      <c r="C59" s="198"/>
      <c r="D59" s="198"/>
    </row>
    <row r="60" spans="2:4" ht="20.149999999999999" customHeight="1">
      <c r="B60" s="196"/>
      <c r="C60" s="198"/>
      <c r="D60" s="198"/>
    </row>
    <row r="61" spans="2:4" ht="20.149999999999999" customHeight="1">
      <c r="B61" s="196"/>
      <c r="C61" s="198"/>
      <c r="D61" s="198"/>
    </row>
    <row r="62" spans="2:4" ht="20.149999999999999" customHeight="1">
      <c r="B62" s="196"/>
      <c r="C62" s="198"/>
      <c r="D62" s="198"/>
    </row>
    <row r="63" spans="2:4" ht="20.149999999999999" customHeight="1">
      <c r="B63" s="196"/>
      <c r="C63" s="198"/>
      <c r="D63" s="198"/>
    </row>
    <row r="64" spans="2:4" ht="20.149999999999999" customHeight="1">
      <c r="B64" s="196"/>
      <c r="C64" s="198"/>
      <c r="D64" s="198"/>
    </row>
    <row r="65" spans="2:4" ht="20.149999999999999" customHeight="1">
      <c r="B65" s="196"/>
      <c r="C65" s="198"/>
      <c r="D65" s="198"/>
    </row>
    <row r="66" spans="2:4" ht="20.149999999999999" customHeight="1">
      <c r="B66" s="196"/>
      <c r="C66" s="198"/>
      <c r="D66" s="198"/>
    </row>
    <row r="67" spans="2:4" ht="20.149999999999999" customHeight="1">
      <c r="B67" s="196"/>
      <c r="C67" s="198"/>
      <c r="D67" s="198"/>
    </row>
    <row r="68" spans="2:4" ht="20.149999999999999" customHeight="1">
      <c r="B68" s="196"/>
      <c r="C68" s="198"/>
      <c r="D68" s="198"/>
    </row>
    <row r="69" spans="2:4" ht="20.149999999999999" customHeight="1">
      <c r="B69" s="196"/>
      <c r="C69" s="198"/>
      <c r="D69" s="198"/>
    </row>
    <row r="70" spans="2:4" ht="20.149999999999999" customHeight="1">
      <c r="B70" s="196"/>
      <c r="C70" s="198"/>
      <c r="D70" s="198"/>
    </row>
    <row r="71" spans="2:4" ht="20.149999999999999" customHeight="1">
      <c r="B71" s="196"/>
      <c r="C71" s="198"/>
      <c r="D71" s="198"/>
    </row>
    <row r="72" spans="2:4" ht="20.149999999999999" customHeight="1">
      <c r="B72" s="196"/>
      <c r="C72" s="198"/>
      <c r="D72" s="198"/>
    </row>
    <row r="73" spans="2:4" ht="20.149999999999999" customHeight="1">
      <c r="B73" s="196"/>
      <c r="C73" s="198"/>
      <c r="D73" s="198"/>
    </row>
    <row r="74" spans="2:4" ht="20.149999999999999" customHeight="1">
      <c r="B74" s="196"/>
      <c r="C74" s="198"/>
      <c r="D74" s="198"/>
    </row>
    <row r="75" spans="2:4" ht="20.149999999999999" customHeight="1">
      <c r="B75" s="196"/>
      <c r="C75" s="198"/>
      <c r="D75" s="198"/>
    </row>
    <row r="76" spans="2:4" ht="20.149999999999999" customHeight="1">
      <c r="B76" s="196"/>
      <c r="C76" s="198"/>
      <c r="D76" s="198"/>
    </row>
    <row r="77" spans="2:4" ht="20.149999999999999" customHeight="1">
      <c r="B77" s="196"/>
      <c r="C77" s="198"/>
      <c r="D77" s="198"/>
    </row>
    <row r="78" spans="2:4" ht="20.149999999999999" customHeight="1">
      <c r="B78" s="196"/>
      <c r="C78" s="198"/>
      <c r="D78" s="198"/>
    </row>
    <row r="79" spans="2:4" ht="20.149999999999999" customHeight="1">
      <c r="D79" s="198"/>
    </row>
  </sheetData>
  <sheetProtection algorithmName="SHA-512" hashValue="FSic6SEOFa2bXJYV8fFhY6yKBtjJiHHTJQ/blkUC/ZC9gfLP7oP54dSgx596/Nr4LZjzJrBJauhNJ03Vz7Hf6A==" saltValue="te95thKQy8XUgTdadgvQ4Q==" spinCount="100000" sheet="1" objects="1" scenarios="1"/>
  <mergeCells count="13">
    <mergeCell ref="B14:C14"/>
    <mergeCell ref="L14:M14"/>
    <mergeCell ref="L2:L3"/>
    <mergeCell ref="D7:F7"/>
    <mergeCell ref="D9:E9"/>
    <mergeCell ref="L12:M12"/>
    <mergeCell ref="L13:M13"/>
    <mergeCell ref="L15:M15"/>
    <mergeCell ref="L18:M18"/>
    <mergeCell ref="L19:M19"/>
    <mergeCell ref="B20:C20"/>
    <mergeCell ref="H20:I20"/>
    <mergeCell ref="L20:M20"/>
  </mergeCells>
  <phoneticPr fontId="1" type="noConversion"/>
  <conditionalFormatting sqref="C4:C5">
    <cfRule type="expression" dxfId="74" priority="6">
      <formula>$C$7&lt;70000</formula>
    </cfRule>
  </conditionalFormatting>
  <conditionalFormatting sqref="C7">
    <cfRule type="expression" dxfId="73" priority="10">
      <formula>$C$7&lt;70000</formula>
    </cfRule>
  </conditionalFormatting>
  <conditionalFormatting sqref="C9">
    <cfRule type="expression" dxfId="72" priority="11">
      <formula>$C$9&lt;15%</formula>
    </cfRule>
  </conditionalFormatting>
  <conditionalFormatting sqref="C19:G19 I19 G20">
    <cfRule type="expression" dxfId="71" priority="7">
      <formula>$G$20&lt;100</formula>
    </cfRule>
  </conditionalFormatting>
  <conditionalFormatting sqref="D7">
    <cfRule type="expression" dxfId="70" priority="1">
      <formula>$C$7&gt;=$C$4</formula>
    </cfRule>
  </conditionalFormatting>
  <conditionalFormatting sqref="H13">
    <cfRule type="cellIs" dxfId="69" priority="3" operator="greaterThanOrEqual">
      <formula>$K$20</formula>
    </cfRule>
  </conditionalFormatting>
  <conditionalFormatting sqref="H19">
    <cfRule type="cellIs" dxfId="68" priority="2" operator="greaterThanOrEqual">
      <formula>$K$20</formula>
    </cfRule>
  </conditionalFormatting>
  <conditionalFormatting sqref="M13">
    <cfRule type="expression" dxfId="67" priority="12">
      <formula>#REF!&lt;70000</formula>
    </cfRule>
  </conditionalFormatting>
  <conditionalFormatting sqref="M19">
    <cfRule type="expression" dxfId="66" priority="8">
      <formula>#REF!&lt;70000</formula>
    </cfRule>
  </conditionalFormatting>
  <conditionalFormatting sqref="N14:O14 M15">
    <cfRule type="expression" dxfId="65" priority="13">
      <formula>#REF!&lt;30%</formula>
    </cfRule>
  </conditionalFormatting>
  <conditionalFormatting sqref="N20:O20">
    <cfRule type="expression" dxfId="64" priority="9">
      <formula>#REF!&lt;30%</formula>
    </cfRule>
  </conditionalFormatting>
  <hyperlinks>
    <hyperlink ref="I1" location="试算路径及方案简述!A1" display="返回" xr:uid="{00000000-0004-0000-0A00-000000000000}"/>
  </hyperlinks>
  <pageMargins left="0.7" right="0.7" top="0.75" bottom="0.75" header="0.3" footer="0.3"/>
  <pageSetup paperSize="9" orientation="portrait" horizontalDpi="300" verticalDpi="0" copies="0" r:id="rId1"/>
  <drawing r:id="rId2"/>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tabColor theme="5"/>
  </sheetPr>
  <dimension ref="B1:O79"/>
  <sheetViews>
    <sheetView zoomScale="60" zoomScaleNormal="60" workbookViewId="0">
      <selection activeCell="L18" sqref="L18:M18"/>
    </sheetView>
  </sheetViews>
  <sheetFormatPr defaultColWidth="8.75" defaultRowHeight="20.149999999999999" customHeight="1"/>
  <cols>
    <col min="1" max="1" width="1.58203125" style="23" customWidth="1"/>
    <col min="2" max="2" width="25.25" style="95" customWidth="1"/>
    <col min="3" max="3" width="16.4140625" style="23" customWidth="1"/>
    <col min="4" max="4" width="17.4140625" style="23" customWidth="1"/>
    <col min="5" max="5" width="17.33203125" style="23" customWidth="1"/>
    <col min="6" max="6" width="16.58203125" style="23" customWidth="1"/>
    <col min="7" max="8" width="16.58203125" style="95" customWidth="1"/>
    <col min="9" max="9" width="64.58203125" style="23" customWidth="1"/>
    <col min="10" max="10" width="5.75" style="23" customWidth="1"/>
    <col min="11" max="11" width="13.25" style="172" customWidth="1"/>
    <col min="12" max="12" width="11.75" style="23" customWidth="1"/>
    <col min="13" max="13" width="6.58203125" style="23" customWidth="1"/>
    <col min="14" max="14" width="13" style="23" customWidth="1"/>
    <col min="15" max="15" width="26" style="23" customWidth="1"/>
    <col min="16" max="16" width="2.33203125" style="23" customWidth="1"/>
    <col min="17" max="17" width="8.75" style="23"/>
    <col min="18" max="19" width="11.25" style="23" customWidth="1"/>
    <col min="20" max="16384" width="8.75" style="23"/>
  </cols>
  <sheetData>
    <row r="1" spans="2:15" ht="61" customHeight="1">
      <c r="I1" s="354" t="s">
        <v>44</v>
      </c>
    </row>
    <row r="2" spans="2:15" ht="19" customHeight="1">
      <c r="B2" s="243" t="s">
        <v>338</v>
      </c>
      <c r="C2" s="24"/>
      <c r="L2" s="921"/>
    </row>
    <row r="3" spans="2:15" ht="35.5" hidden="1" customHeight="1">
      <c r="B3" s="30" t="s">
        <v>196</v>
      </c>
      <c r="C3" s="174">
        <v>9.7000000000000003E-2</v>
      </c>
      <c r="D3" s="175"/>
      <c r="E3" s="176"/>
      <c r="F3" s="176"/>
      <c r="L3" s="921"/>
    </row>
    <row r="4" spans="2:15" ht="30" customHeight="1">
      <c r="B4" s="30" t="s">
        <v>288</v>
      </c>
      <c r="C4" s="177">
        <v>200000</v>
      </c>
      <c r="D4" s="178"/>
      <c r="E4" s="176"/>
      <c r="F4" s="176"/>
    </row>
    <row r="5" spans="2:15" ht="34" customHeight="1">
      <c r="B5" s="390" t="s">
        <v>318</v>
      </c>
      <c r="C5" s="177">
        <v>0</v>
      </c>
      <c r="D5" s="178"/>
      <c r="E5" s="176"/>
      <c r="F5" s="176"/>
    </row>
    <row r="6" spans="2:15" ht="30" customHeight="1">
      <c r="B6" s="42" t="s">
        <v>49</v>
      </c>
      <c r="C6" s="181">
        <f>C4+C5</f>
        <v>200000</v>
      </c>
      <c r="D6" s="178"/>
      <c r="E6" s="176"/>
      <c r="F6" s="176"/>
    </row>
    <row r="7" spans="2:15" ht="30" customHeight="1">
      <c r="B7" s="179" t="s">
        <v>566</v>
      </c>
      <c r="C7" s="177">
        <v>100000</v>
      </c>
      <c r="D7" s="830" t="s">
        <v>319</v>
      </c>
      <c r="E7" s="922"/>
      <c r="F7" s="922"/>
    </row>
    <row r="8" spans="2:15" ht="30" customHeight="1">
      <c r="B8" s="180" t="s">
        <v>59</v>
      </c>
      <c r="C8" s="181">
        <f>C6-C7</f>
        <v>100000</v>
      </c>
      <c r="D8" s="182"/>
    </row>
    <row r="9" spans="2:15" ht="30" customHeight="1">
      <c r="B9" s="47" t="s">
        <v>60</v>
      </c>
      <c r="C9" s="183">
        <f>C8/C6</f>
        <v>0.5</v>
      </c>
      <c r="D9" s="923" t="s">
        <v>197</v>
      </c>
      <c r="E9" s="924"/>
    </row>
    <row r="10" spans="2:15" ht="11.15" customHeight="1"/>
    <row r="11" spans="2:15" ht="30" customHeight="1">
      <c r="B11" s="184" t="s">
        <v>57</v>
      </c>
      <c r="E11" s="184"/>
      <c r="F11" s="184"/>
      <c r="I11" s="95"/>
      <c r="J11" s="95"/>
      <c r="K11" s="184"/>
      <c r="L11" s="60" t="s">
        <v>379</v>
      </c>
    </row>
    <row r="12" spans="2:15" ht="30" customHeight="1">
      <c r="B12" s="229" t="s">
        <v>380</v>
      </c>
      <c r="C12" s="246" t="s">
        <v>61</v>
      </c>
      <c r="D12" s="247" t="s">
        <v>234</v>
      </c>
      <c r="E12" s="248" t="s">
        <v>344</v>
      </c>
      <c r="F12" s="249" t="s">
        <v>62</v>
      </c>
      <c r="G12" s="249" t="s">
        <v>63</v>
      </c>
      <c r="H12" s="56" t="s">
        <v>305</v>
      </c>
      <c r="I12" s="551" t="s">
        <v>440</v>
      </c>
      <c r="J12" s="185"/>
      <c r="K12" s="49" t="s">
        <v>67</v>
      </c>
      <c r="L12" s="912">
        <v>30</v>
      </c>
      <c r="M12" s="913"/>
      <c r="N12" s="456" t="s">
        <v>377</v>
      </c>
      <c r="O12" s="66"/>
    </row>
    <row r="13" spans="2:15" ht="39" customHeight="1">
      <c r="B13" s="230" t="s">
        <v>385</v>
      </c>
      <c r="C13" s="244" t="s">
        <v>38</v>
      </c>
      <c r="D13" s="273">
        <f>ROUNDUP(PMT($C$3/12,60,-$C$7),2)</f>
        <v>2109.98</v>
      </c>
      <c r="E13" s="416">
        <f>D13*60-C7</f>
        <v>26598.800000000003</v>
      </c>
      <c r="F13" s="245">
        <f>RATE(60,-D13,$C$7)*12</f>
        <v>9.7001353563844012E-2</v>
      </c>
      <c r="G13" s="245">
        <f>E13/$C$7/5</f>
        <v>5.3197599999999998E-2</v>
      </c>
      <c r="H13" s="362">
        <f>E13/$C$7</f>
        <v>0.265988</v>
      </c>
      <c r="I13" s="396" t="s">
        <v>331</v>
      </c>
      <c r="J13" s="59"/>
      <c r="K13" s="49" t="s">
        <v>69</v>
      </c>
      <c r="L13" s="914">
        <f>C7-(D13*L12-L15)</f>
        <v>56009.029022194911</v>
      </c>
      <c r="M13" s="915"/>
      <c r="N13" s="68"/>
      <c r="O13" s="66"/>
    </row>
    <row r="14" spans="2:15" ht="30" customHeight="1">
      <c r="B14" s="916"/>
      <c r="C14" s="916"/>
      <c r="D14" s="186"/>
      <c r="G14" s="23"/>
      <c r="H14" s="23"/>
      <c r="K14" s="49" t="s">
        <v>76</v>
      </c>
      <c r="L14" s="919">
        <f>E13-L15</f>
        <v>7290.3709778050907</v>
      </c>
      <c r="M14" s="920"/>
      <c r="N14" s="68"/>
      <c r="O14" s="66"/>
    </row>
    <row r="15" spans="2:15" ht="14.15" customHeight="1">
      <c r="B15" s="187"/>
      <c r="G15" s="23"/>
      <c r="H15" s="23"/>
      <c r="K15" s="71" t="s">
        <v>71</v>
      </c>
      <c r="L15" s="782">
        <f>(C7*(F13/12)-D13)*((1+(F13/12))^(L12)-1)/(F13/12)+(D13)*L12</f>
        <v>19308.429022194912</v>
      </c>
      <c r="M15" s="782"/>
    </row>
    <row r="16" spans="2:15" s="191" customFormat="1" ht="7" customHeight="1">
      <c r="B16" s="188"/>
      <c r="C16" s="189"/>
      <c r="D16" s="190"/>
      <c r="G16" s="192"/>
      <c r="H16" s="192"/>
      <c r="K16" s="193"/>
    </row>
    <row r="17" spans="2:15" ht="30" customHeight="1">
      <c r="B17" s="184"/>
      <c r="E17" s="184"/>
      <c r="F17" s="184"/>
      <c r="I17" s="95"/>
      <c r="J17" s="95"/>
      <c r="K17" s="184"/>
      <c r="L17" s="60" t="s">
        <v>379</v>
      </c>
    </row>
    <row r="18" spans="2:15" ht="30" customHeight="1">
      <c r="B18" s="229" t="s">
        <v>381</v>
      </c>
      <c r="C18" s="246" t="s">
        <v>61</v>
      </c>
      <c r="D18" s="247" t="s">
        <v>234</v>
      </c>
      <c r="E18" s="248" t="s">
        <v>344</v>
      </c>
      <c r="F18" s="249" t="s">
        <v>62</v>
      </c>
      <c r="G18" s="249" t="s">
        <v>63</v>
      </c>
      <c r="H18" s="56" t="s">
        <v>305</v>
      </c>
      <c r="I18" s="551" t="s">
        <v>440</v>
      </c>
      <c r="J18" s="185"/>
      <c r="K18" s="49" t="s">
        <v>67</v>
      </c>
      <c r="L18" s="912">
        <v>30</v>
      </c>
      <c r="M18" s="913"/>
      <c r="N18" s="456" t="s">
        <v>377</v>
      </c>
      <c r="O18" s="66"/>
    </row>
    <row r="19" spans="2:15" ht="40" customHeight="1">
      <c r="B19" s="230" t="s">
        <v>386</v>
      </c>
      <c r="C19" s="244" t="s">
        <v>38</v>
      </c>
      <c r="D19" s="273">
        <f>ROUNDUP(PMT($C$3/12,60,-$C$7)-G20/60,2)</f>
        <v>2108.3100000000004</v>
      </c>
      <c r="E19" s="416">
        <f>D19*60-C7</f>
        <v>26498.60000000002</v>
      </c>
      <c r="F19" s="245">
        <f>RATE(60,-D19,$C$7)*12</f>
        <v>9.6660480813689942E-2</v>
      </c>
      <c r="G19" s="245">
        <f>E19/$C$7/5</f>
        <v>5.2997200000000043E-2</v>
      </c>
      <c r="H19" s="362">
        <f>E19/$C$7</f>
        <v>0.26498600000000022</v>
      </c>
      <c r="I19" s="396" t="s">
        <v>376</v>
      </c>
      <c r="J19" s="59"/>
      <c r="K19" s="49" t="s">
        <v>69</v>
      </c>
      <c r="L19" s="914">
        <f>C7-(D19*L18-L21)</f>
        <v>55988.199200299117</v>
      </c>
      <c r="M19" s="915"/>
      <c r="N19" s="68"/>
      <c r="O19" s="66"/>
    </row>
    <row r="20" spans="2:15" ht="30" customHeight="1">
      <c r="B20" s="916"/>
      <c r="C20" s="916"/>
      <c r="D20" s="186"/>
      <c r="F20" s="194" t="s">
        <v>268</v>
      </c>
      <c r="G20" s="195">
        <v>100</v>
      </c>
      <c r="H20" s="917" t="s">
        <v>200</v>
      </c>
      <c r="I20" s="918"/>
      <c r="K20" s="49" t="s">
        <v>76</v>
      </c>
      <c r="L20" s="919">
        <f>E19-L21</f>
        <v>7261.1007997008928</v>
      </c>
      <c r="M20" s="920"/>
      <c r="N20" s="68"/>
      <c r="O20" s="66"/>
    </row>
    <row r="21" spans="2:15" ht="13.5" customHeight="1">
      <c r="B21" s="187"/>
      <c r="C21" s="196"/>
      <c r="D21" s="196"/>
      <c r="L21" s="27">
        <f>(C7*(F19/12)-D19)*((1+(F19/12))^(L18)-1)/(F19/12)+(D19)*L18</f>
        <v>19237.499200299128</v>
      </c>
    </row>
    <row r="22" spans="2:15" ht="30" customHeight="1">
      <c r="B22" s="196"/>
      <c r="C22" s="196"/>
      <c r="D22" s="196"/>
    </row>
    <row r="23" spans="2:15" ht="30" customHeight="1">
      <c r="B23" s="196"/>
      <c r="C23" s="196"/>
      <c r="D23" s="196"/>
    </row>
    <row r="24" spans="2:15" ht="30" customHeight="1">
      <c r="B24" s="196"/>
      <c r="C24" s="197"/>
      <c r="D24" s="196"/>
    </row>
    <row r="25" spans="2:15" ht="30" customHeight="1">
      <c r="B25" s="196"/>
      <c r="C25" s="198"/>
      <c r="D25" s="197"/>
    </row>
    <row r="26" spans="2:15" ht="30" customHeight="1">
      <c r="B26" s="196"/>
      <c r="C26" s="197"/>
      <c r="D26" s="198"/>
    </row>
    <row r="27" spans="2:15" ht="30" customHeight="1">
      <c r="B27" s="196"/>
      <c r="C27" s="196"/>
      <c r="D27" s="197"/>
    </row>
    <row r="28" spans="2:15" ht="30" customHeight="1">
      <c r="B28" s="196"/>
      <c r="C28" s="197"/>
      <c r="D28" s="196"/>
    </row>
    <row r="29" spans="2:15" ht="20.149999999999999" customHeight="1">
      <c r="B29" s="196"/>
      <c r="C29" s="198"/>
      <c r="D29" s="197"/>
    </row>
    <row r="30" spans="2:15" ht="20.149999999999999" customHeight="1">
      <c r="B30" s="196"/>
      <c r="C30" s="198"/>
      <c r="D30" s="198"/>
    </row>
    <row r="31" spans="2:15" ht="20.149999999999999" customHeight="1">
      <c r="B31" s="196"/>
      <c r="C31" s="198"/>
      <c r="D31" s="198"/>
    </row>
    <row r="32" spans="2:15" ht="20.149999999999999" customHeight="1">
      <c r="B32" s="196"/>
      <c r="C32" s="198"/>
      <c r="D32" s="198"/>
    </row>
    <row r="33" spans="2:4" ht="20.149999999999999" customHeight="1">
      <c r="B33" s="196"/>
      <c r="C33" s="198"/>
      <c r="D33" s="198"/>
    </row>
    <row r="34" spans="2:4" ht="20.149999999999999" customHeight="1">
      <c r="B34" s="196"/>
      <c r="C34" s="198"/>
      <c r="D34" s="198"/>
    </row>
    <row r="35" spans="2:4" ht="20.149999999999999" customHeight="1">
      <c r="B35" s="196"/>
      <c r="C35" s="198"/>
      <c r="D35" s="198"/>
    </row>
    <row r="36" spans="2:4" ht="20.149999999999999" customHeight="1">
      <c r="B36" s="196"/>
      <c r="C36" s="198"/>
      <c r="D36" s="198"/>
    </row>
    <row r="37" spans="2:4" ht="20.149999999999999" customHeight="1">
      <c r="B37" s="196"/>
      <c r="C37" s="198"/>
      <c r="D37" s="198"/>
    </row>
    <row r="38" spans="2:4" ht="20.149999999999999" customHeight="1">
      <c r="B38" s="196"/>
      <c r="C38" s="198"/>
      <c r="D38" s="198"/>
    </row>
    <row r="39" spans="2:4" ht="20.149999999999999" customHeight="1">
      <c r="B39" s="196"/>
      <c r="C39" s="198"/>
      <c r="D39" s="198"/>
    </row>
    <row r="40" spans="2:4" ht="20.149999999999999" customHeight="1">
      <c r="B40" s="196"/>
      <c r="C40" s="198"/>
      <c r="D40" s="198"/>
    </row>
    <row r="41" spans="2:4" ht="20.149999999999999" customHeight="1">
      <c r="B41" s="196"/>
      <c r="C41" s="198"/>
      <c r="D41" s="198"/>
    </row>
    <row r="42" spans="2:4" ht="20.149999999999999" customHeight="1">
      <c r="B42" s="196"/>
      <c r="C42" s="198"/>
      <c r="D42" s="198"/>
    </row>
    <row r="43" spans="2:4" ht="20.149999999999999" customHeight="1">
      <c r="B43" s="196"/>
      <c r="C43" s="198"/>
      <c r="D43" s="198"/>
    </row>
    <row r="44" spans="2:4" ht="20.149999999999999" customHeight="1">
      <c r="B44" s="196"/>
      <c r="C44" s="198"/>
      <c r="D44" s="198"/>
    </row>
    <row r="45" spans="2:4" ht="20.149999999999999" customHeight="1">
      <c r="B45" s="196"/>
      <c r="C45" s="198"/>
      <c r="D45" s="198"/>
    </row>
    <row r="46" spans="2:4" ht="20.149999999999999" customHeight="1">
      <c r="B46" s="196"/>
      <c r="C46" s="198"/>
      <c r="D46" s="198"/>
    </row>
    <row r="47" spans="2:4" ht="20.149999999999999" customHeight="1">
      <c r="B47" s="196"/>
      <c r="C47" s="198"/>
      <c r="D47" s="198"/>
    </row>
    <row r="48" spans="2:4" ht="20.149999999999999" customHeight="1">
      <c r="B48" s="196"/>
      <c r="C48" s="198"/>
      <c r="D48" s="198"/>
    </row>
    <row r="49" spans="2:4" ht="20.149999999999999" customHeight="1">
      <c r="B49" s="196"/>
      <c r="C49" s="198"/>
      <c r="D49" s="198"/>
    </row>
    <row r="50" spans="2:4" ht="20.149999999999999" customHeight="1">
      <c r="B50" s="196"/>
      <c r="C50" s="198"/>
      <c r="D50" s="198"/>
    </row>
    <row r="51" spans="2:4" ht="20.149999999999999" customHeight="1">
      <c r="B51" s="196"/>
      <c r="C51" s="198"/>
      <c r="D51" s="198"/>
    </row>
    <row r="52" spans="2:4" ht="20.149999999999999" customHeight="1">
      <c r="B52" s="196"/>
      <c r="C52" s="198"/>
      <c r="D52" s="198"/>
    </row>
    <row r="53" spans="2:4" ht="20.149999999999999" customHeight="1">
      <c r="B53" s="196"/>
      <c r="C53" s="198"/>
      <c r="D53" s="198"/>
    </row>
    <row r="54" spans="2:4" ht="20.149999999999999" customHeight="1">
      <c r="B54" s="196"/>
      <c r="C54" s="198"/>
      <c r="D54" s="198"/>
    </row>
    <row r="55" spans="2:4" ht="20.149999999999999" customHeight="1">
      <c r="B55" s="196"/>
      <c r="C55" s="198"/>
      <c r="D55" s="198"/>
    </row>
    <row r="56" spans="2:4" ht="20.149999999999999" customHeight="1">
      <c r="B56" s="196"/>
      <c r="C56" s="198"/>
      <c r="D56" s="198"/>
    </row>
    <row r="57" spans="2:4" ht="20.149999999999999" customHeight="1">
      <c r="B57" s="196"/>
      <c r="C57" s="198"/>
      <c r="D57" s="198"/>
    </row>
    <row r="58" spans="2:4" ht="20.149999999999999" customHeight="1">
      <c r="B58" s="196"/>
      <c r="C58" s="198"/>
      <c r="D58" s="198"/>
    </row>
    <row r="59" spans="2:4" ht="20.149999999999999" customHeight="1">
      <c r="B59" s="196"/>
      <c r="C59" s="198"/>
      <c r="D59" s="198"/>
    </row>
    <row r="60" spans="2:4" ht="20.149999999999999" customHeight="1">
      <c r="B60" s="196"/>
      <c r="C60" s="198"/>
      <c r="D60" s="198"/>
    </row>
    <row r="61" spans="2:4" ht="20.149999999999999" customHeight="1">
      <c r="B61" s="196"/>
      <c r="C61" s="198"/>
      <c r="D61" s="198"/>
    </row>
    <row r="62" spans="2:4" ht="20.149999999999999" customHeight="1">
      <c r="B62" s="196"/>
      <c r="C62" s="198"/>
      <c r="D62" s="198"/>
    </row>
    <row r="63" spans="2:4" ht="20.149999999999999" customHeight="1">
      <c r="B63" s="196"/>
      <c r="C63" s="198"/>
      <c r="D63" s="198"/>
    </row>
    <row r="64" spans="2:4" ht="20.149999999999999" customHeight="1">
      <c r="B64" s="196"/>
      <c r="C64" s="198"/>
      <c r="D64" s="198"/>
    </row>
    <row r="65" spans="2:4" ht="20.149999999999999" customHeight="1">
      <c r="B65" s="196"/>
      <c r="C65" s="198"/>
      <c r="D65" s="198"/>
    </row>
    <row r="66" spans="2:4" ht="20.149999999999999" customHeight="1">
      <c r="B66" s="196"/>
      <c r="C66" s="198"/>
      <c r="D66" s="198"/>
    </row>
    <row r="67" spans="2:4" ht="20.149999999999999" customHeight="1">
      <c r="B67" s="196"/>
      <c r="C67" s="198"/>
      <c r="D67" s="198"/>
    </row>
    <row r="68" spans="2:4" ht="20.149999999999999" customHeight="1">
      <c r="B68" s="196"/>
      <c r="C68" s="198"/>
      <c r="D68" s="198"/>
    </row>
    <row r="69" spans="2:4" ht="20.149999999999999" customHeight="1">
      <c r="B69" s="196"/>
      <c r="C69" s="198"/>
      <c r="D69" s="198"/>
    </row>
    <row r="70" spans="2:4" ht="20.149999999999999" customHeight="1">
      <c r="B70" s="196"/>
      <c r="C70" s="198"/>
      <c r="D70" s="198"/>
    </row>
    <row r="71" spans="2:4" ht="20.149999999999999" customHeight="1">
      <c r="B71" s="196"/>
      <c r="C71" s="198"/>
      <c r="D71" s="198"/>
    </row>
    <row r="72" spans="2:4" ht="20.149999999999999" customHeight="1">
      <c r="B72" s="196"/>
      <c r="C72" s="198"/>
      <c r="D72" s="198"/>
    </row>
    <row r="73" spans="2:4" ht="20.149999999999999" customHeight="1">
      <c r="B73" s="196"/>
      <c r="C73" s="198"/>
      <c r="D73" s="198"/>
    </row>
    <row r="74" spans="2:4" ht="20.149999999999999" customHeight="1">
      <c r="B74" s="196"/>
      <c r="C74" s="198"/>
      <c r="D74" s="198"/>
    </row>
    <row r="75" spans="2:4" ht="20.149999999999999" customHeight="1">
      <c r="B75" s="196"/>
      <c r="C75" s="198"/>
      <c r="D75" s="198"/>
    </row>
    <row r="76" spans="2:4" ht="20.149999999999999" customHeight="1">
      <c r="B76" s="196"/>
      <c r="C76" s="198"/>
      <c r="D76" s="198"/>
    </row>
    <row r="77" spans="2:4" ht="20.149999999999999" customHeight="1">
      <c r="B77" s="196"/>
      <c r="C77" s="198"/>
      <c r="D77" s="198"/>
    </row>
    <row r="78" spans="2:4" ht="20.149999999999999" customHeight="1">
      <c r="B78" s="196"/>
      <c r="C78" s="198"/>
      <c r="D78" s="198"/>
    </row>
    <row r="79" spans="2:4" ht="20.149999999999999" customHeight="1">
      <c r="D79" s="198"/>
    </row>
  </sheetData>
  <sheetProtection algorithmName="SHA-512" hashValue="TlhA7wvytM5zUFdeTJObz+ofeMrbU+q54VWF575ozzWHEiRN0U7F8hJ4pSTgUOhU0kPnEe3HyGW3bMwvLRO4iA==" saltValue="MOz9LZwqKLTT4obrbABeDw==" spinCount="100000" sheet="1" objects="1" scenarios="1"/>
  <mergeCells count="13">
    <mergeCell ref="B14:C14"/>
    <mergeCell ref="L14:M14"/>
    <mergeCell ref="L2:L3"/>
    <mergeCell ref="D7:F7"/>
    <mergeCell ref="D9:E9"/>
    <mergeCell ref="L12:M12"/>
    <mergeCell ref="L13:M13"/>
    <mergeCell ref="L15:M15"/>
    <mergeCell ref="L18:M18"/>
    <mergeCell ref="L19:M19"/>
    <mergeCell ref="B20:C20"/>
    <mergeCell ref="H20:I20"/>
    <mergeCell ref="L20:M20"/>
  </mergeCells>
  <phoneticPr fontId="1" type="noConversion"/>
  <conditionalFormatting sqref="C4:C5">
    <cfRule type="expression" dxfId="63" priority="7">
      <formula>$C$7&lt;70000</formula>
    </cfRule>
  </conditionalFormatting>
  <conditionalFormatting sqref="C7">
    <cfRule type="expression" dxfId="62" priority="1">
      <formula>$C$7&lt;70000</formula>
    </cfRule>
  </conditionalFormatting>
  <conditionalFormatting sqref="C9">
    <cfRule type="expression" dxfId="61" priority="12">
      <formula>$C$9&lt;15%</formula>
    </cfRule>
  </conditionalFormatting>
  <conditionalFormatting sqref="C19:G19 I19 G20">
    <cfRule type="expression" dxfId="60" priority="8">
      <formula>$G$20&lt;100</formula>
    </cfRule>
  </conditionalFormatting>
  <conditionalFormatting sqref="D7">
    <cfRule type="expression" dxfId="59" priority="2">
      <formula>$C$7&gt;=$C$4</formula>
    </cfRule>
  </conditionalFormatting>
  <conditionalFormatting sqref="H13">
    <cfRule type="cellIs" dxfId="58" priority="4" operator="greaterThanOrEqual">
      <formula>$K$20</formula>
    </cfRule>
  </conditionalFormatting>
  <conditionalFormatting sqref="H19">
    <cfRule type="cellIs" dxfId="57" priority="3" operator="greaterThanOrEqual">
      <formula>$K$20</formula>
    </cfRule>
  </conditionalFormatting>
  <conditionalFormatting sqref="M13">
    <cfRule type="expression" dxfId="56" priority="13">
      <formula>#REF!&lt;70000</formula>
    </cfRule>
  </conditionalFormatting>
  <conditionalFormatting sqref="M19">
    <cfRule type="expression" dxfId="55" priority="9">
      <formula>#REF!&lt;70000</formula>
    </cfRule>
  </conditionalFormatting>
  <conditionalFormatting sqref="N14:O14 M15">
    <cfRule type="expression" dxfId="54" priority="14">
      <formula>#REF!&lt;30%</formula>
    </cfRule>
  </conditionalFormatting>
  <conditionalFormatting sqref="N20:O20">
    <cfRule type="expression" dxfId="53" priority="10">
      <formula>#REF!&lt;30%</formula>
    </cfRule>
  </conditionalFormatting>
  <hyperlinks>
    <hyperlink ref="I1" location="试算路径及方案简述!A1" display="返回" xr:uid="{00000000-0004-0000-0B00-000000000000}"/>
  </hyperlinks>
  <pageMargins left="0.7" right="0.7" top="0.75" bottom="0.75" header="0.3" footer="0.3"/>
  <pageSetup paperSize="9" orientation="portrait" horizontalDpi="300" verticalDpi="0" copies="0" r:id="rId1"/>
  <drawing r:id="rId2"/>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tabColor theme="5" tint="0.39997558519241921"/>
  </sheetPr>
  <dimension ref="B1:AD90"/>
  <sheetViews>
    <sheetView topLeftCell="D1" zoomScale="50" zoomScaleNormal="50" workbookViewId="0">
      <selection activeCell="AA4" sqref="AA4:AB4"/>
    </sheetView>
  </sheetViews>
  <sheetFormatPr defaultColWidth="8.75" defaultRowHeight="20.149999999999999" customHeight="1"/>
  <cols>
    <col min="1" max="1" width="1.58203125" style="23" customWidth="1"/>
    <col min="2" max="2" width="23" style="23" customWidth="1"/>
    <col min="3" max="3" width="28.75" style="23" customWidth="1"/>
    <col min="4" max="4" width="2.33203125" style="23" customWidth="1"/>
    <col min="5" max="5" width="18.75" style="95" customWidth="1"/>
    <col min="6" max="6" width="10.25" style="23" customWidth="1"/>
    <col min="7" max="7" width="13.4140625" style="95" customWidth="1"/>
    <col min="8" max="8" width="16.25" style="23" customWidth="1"/>
    <col min="9" max="9" width="8.33203125" style="23" customWidth="1"/>
    <col min="10" max="10" width="16.33203125" style="95" customWidth="1"/>
    <col min="11" max="11" width="20.33203125" style="95" customWidth="1"/>
    <col min="12" max="12" width="19.25" style="23" customWidth="1"/>
    <col min="13" max="13" width="19.25" style="172" customWidth="1"/>
    <col min="14" max="14" width="17.58203125" style="172" customWidth="1"/>
    <col min="15" max="15" width="16.4140625" style="95" customWidth="1"/>
    <col min="16" max="16" width="57.75" style="23" customWidth="1"/>
    <col min="17" max="18" width="5.33203125" style="23" customWidth="1"/>
    <col min="19" max="20" width="0" style="23" hidden="1" customWidth="1"/>
    <col min="21" max="21" width="16.75" style="23" hidden="1" customWidth="1"/>
    <col min="22" max="24" width="0" style="23" hidden="1" customWidth="1"/>
    <col min="25" max="25" width="2.33203125" style="23" customWidth="1"/>
    <col min="26" max="26" width="8.75" style="23"/>
    <col min="27" max="28" width="11.25" style="23" customWidth="1"/>
    <col min="29" max="29" width="13.75" style="23" customWidth="1"/>
    <col min="30" max="16384" width="8.75" style="23"/>
  </cols>
  <sheetData>
    <row r="1" spans="2:30" ht="88" customHeight="1">
      <c r="P1" s="354" t="s">
        <v>44</v>
      </c>
      <c r="Z1" s="97"/>
    </row>
    <row r="2" spans="2:30" ht="20.149999999999999" customHeight="1" thickBot="1">
      <c r="B2" s="173" t="s">
        <v>338</v>
      </c>
      <c r="E2" s="184" t="s">
        <v>57</v>
      </c>
      <c r="H2" s="184"/>
      <c r="I2" s="184"/>
      <c r="P2" s="97"/>
    </row>
    <row r="3" spans="2:30" ht="37" customHeight="1">
      <c r="B3" s="966" t="s">
        <v>292</v>
      </c>
      <c r="C3" s="967">
        <v>275900</v>
      </c>
      <c r="D3" s="199"/>
      <c r="E3" s="241" t="s">
        <v>58</v>
      </c>
      <c r="F3" s="232" t="s">
        <v>60</v>
      </c>
      <c r="G3" s="233" t="s">
        <v>59</v>
      </c>
      <c r="H3" s="286" t="s">
        <v>567</v>
      </c>
      <c r="I3" s="286" t="s">
        <v>61</v>
      </c>
      <c r="J3" s="234" t="s">
        <v>234</v>
      </c>
      <c r="K3" s="236" t="s">
        <v>344</v>
      </c>
      <c r="L3" s="237" t="s">
        <v>62</v>
      </c>
      <c r="M3" s="238" t="s">
        <v>63</v>
      </c>
      <c r="N3" s="238" t="s">
        <v>306</v>
      </c>
      <c r="O3" s="969" t="s">
        <v>440</v>
      </c>
      <c r="P3" s="970"/>
      <c r="Y3" s="59"/>
      <c r="Z3" s="60"/>
      <c r="AA3" s="60" t="s">
        <v>378</v>
      </c>
    </row>
    <row r="4" spans="2:30" ht="30" customHeight="1">
      <c r="B4" s="945"/>
      <c r="C4" s="968"/>
      <c r="D4" s="199"/>
      <c r="E4" s="928" t="s">
        <v>216</v>
      </c>
      <c r="F4" s="930">
        <f>G4/C9</f>
        <v>0.45632475534613992</v>
      </c>
      <c r="G4" s="932">
        <f>C9-H4</f>
        <v>125900</v>
      </c>
      <c r="H4" s="934">
        <v>150000</v>
      </c>
      <c r="I4" s="200" t="s">
        <v>38</v>
      </c>
      <c r="J4" s="459">
        <f>ROUNDUP(PMT($C$7/12,60,-$H$4)-C16/60,2)</f>
        <v>3040.03</v>
      </c>
      <c r="K4" s="457">
        <f>J4*60-H4</f>
        <v>32401.800000000017</v>
      </c>
      <c r="L4" s="413">
        <f>RATE(60,-J4,$H$4)*12</f>
        <v>7.9800892654969105E-2</v>
      </c>
      <c r="M4" s="293">
        <f>K4/$H$4/5</f>
        <v>4.3202400000000023E-2</v>
      </c>
      <c r="N4" s="413">
        <f t="shared" ref="N4:N9" si="0">K4/$H$4</f>
        <v>0.21601200000000012</v>
      </c>
      <c r="O4" s="829" t="str">
        <f>VLOOKUP(C7,'参数-非厂贴方案配置'!A4:I7,2,0)</f>
        <v>个人申请：7.98新通用 新优速贷/个体工商户升级 非贴息_60期
企业申请：7.98新通用 新公牌易贷/个体工商户  非贴息_60期</v>
      </c>
      <c r="P4" s="971"/>
      <c r="Y4" s="70"/>
      <c r="Z4" s="65" t="s">
        <v>67</v>
      </c>
      <c r="AA4" s="912">
        <v>24</v>
      </c>
      <c r="AB4" s="913"/>
      <c r="AC4" s="456" t="s">
        <v>370</v>
      </c>
      <c r="AD4" s="66"/>
    </row>
    <row r="5" spans="2:30" ht="30" customHeight="1">
      <c r="B5" s="945" t="s">
        <v>289</v>
      </c>
      <c r="C5" s="968">
        <v>0</v>
      </c>
      <c r="D5" s="199"/>
      <c r="E5" s="928"/>
      <c r="F5" s="930"/>
      <c r="G5" s="932"/>
      <c r="H5" s="934"/>
      <c r="I5" s="200" t="s">
        <v>39</v>
      </c>
      <c r="J5" s="459">
        <f>ROUNDUP(PMT($C$7/12,48,-$H$4)-C16/48,2)</f>
        <v>3660.5400000000004</v>
      </c>
      <c r="K5" s="457">
        <f>J5*48-H4</f>
        <v>25705.920000000013</v>
      </c>
      <c r="L5" s="413">
        <f>RATE(48,-J5,$H$4)*12</f>
        <v>7.9801376866656532E-2</v>
      </c>
      <c r="M5" s="293">
        <f>K5/$H$4/4</f>
        <v>4.2843200000000019E-2</v>
      </c>
      <c r="N5" s="413">
        <f t="shared" si="0"/>
        <v>0.17137280000000008</v>
      </c>
      <c r="O5" s="829"/>
      <c r="P5" s="971"/>
      <c r="Y5" s="70"/>
      <c r="Z5" s="65" t="s">
        <v>69</v>
      </c>
      <c r="AA5" s="914">
        <f>H4-(J4*AA4-AA7)</f>
        <v>97041.288018576699</v>
      </c>
      <c r="AB5" s="915"/>
      <c r="AC5" s="68"/>
      <c r="AD5" s="66"/>
    </row>
    <row r="6" spans="2:30" ht="30" customHeight="1">
      <c r="B6" s="945"/>
      <c r="C6" s="968"/>
      <c r="D6" s="202"/>
      <c r="E6" s="928"/>
      <c r="F6" s="930"/>
      <c r="G6" s="932"/>
      <c r="H6" s="934"/>
      <c r="I6" s="200" t="s">
        <v>40</v>
      </c>
      <c r="J6" s="459">
        <f>ROUNDUP(PMT($C$7/12,36,-$H$4)-C16/36,2)</f>
        <v>4699.08</v>
      </c>
      <c r="K6" s="457">
        <f>J6*36-H4</f>
        <v>19166.880000000005</v>
      </c>
      <c r="L6" s="413">
        <f>RATE(36,-J6,$H$4)*12</f>
        <v>7.9801303300766596E-2</v>
      </c>
      <c r="M6" s="293">
        <f>K6/$H$4/3</f>
        <v>4.2593066666666679E-2</v>
      </c>
      <c r="N6" s="413">
        <f t="shared" si="0"/>
        <v>0.12777920000000004</v>
      </c>
      <c r="O6" s="829"/>
      <c r="P6" s="971"/>
      <c r="Y6" s="76"/>
      <c r="Z6" s="65" t="s">
        <v>76</v>
      </c>
      <c r="AA6" s="919">
        <f>K4-AA7</f>
        <v>12399.791981423317</v>
      </c>
      <c r="AB6" s="920"/>
      <c r="AC6" s="68"/>
      <c r="AD6" s="66"/>
    </row>
    <row r="7" spans="2:30" ht="30" customHeight="1">
      <c r="B7" s="944" t="s">
        <v>603</v>
      </c>
      <c r="C7" s="946">
        <v>7.9799999999999996E-2</v>
      </c>
      <c r="D7" s="204"/>
      <c r="E7" s="928"/>
      <c r="F7" s="930"/>
      <c r="G7" s="932"/>
      <c r="H7" s="934"/>
      <c r="I7" s="200" t="s">
        <v>41</v>
      </c>
      <c r="J7" s="459">
        <f>ROUNDUP(PMT($C$7/12,24,-$H$4)-C16/24,2)</f>
        <v>6782.7300000000005</v>
      </c>
      <c r="K7" s="457">
        <f>J7*24-H4</f>
        <v>12785.520000000019</v>
      </c>
      <c r="L7" s="413">
        <f>RATE(24,-J7,$H$4)*12</f>
        <v>7.980065006976636E-2</v>
      </c>
      <c r="M7" s="293">
        <f>K7/$H$4/2</f>
        <v>4.2618400000000063E-2</v>
      </c>
      <c r="N7" s="413">
        <f t="shared" si="0"/>
        <v>8.5236800000000126E-2</v>
      </c>
      <c r="O7" s="829"/>
      <c r="P7" s="971"/>
      <c r="Y7" s="76"/>
      <c r="Z7" s="71" t="s">
        <v>71</v>
      </c>
      <c r="AA7" s="782">
        <f>(H4*(L4/12)-J4)*((1+(L4/12))^(AA4)-1)/(L4/12)+(J4)*AA4</f>
        <v>20002.0080185767</v>
      </c>
      <c r="AB7" s="782"/>
    </row>
    <row r="8" spans="2:30" ht="30" customHeight="1">
      <c r="B8" s="945"/>
      <c r="C8" s="946"/>
      <c r="D8" s="182"/>
      <c r="E8" s="928"/>
      <c r="F8" s="930"/>
      <c r="G8" s="932"/>
      <c r="H8" s="934"/>
      <c r="I8" s="200" t="s">
        <v>42</v>
      </c>
      <c r="J8" s="459">
        <f>ROUNDUP(PMT($C$7/12,18,-$H$4)-C16/18,2)</f>
        <v>8869.68</v>
      </c>
      <c r="K8" s="457">
        <f>J8*18-H4</f>
        <v>9654.2399999999907</v>
      </c>
      <c r="L8" s="413">
        <f>RATE(18,-J8,$H$4)*12</f>
        <v>7.9800609105152964E-2</v>
      </c>
      <c r="M8" s="293">
        <f>K8/$H$4/1.5</f>
        <v>4.2907733333333288E-2</v>
      </c>
      <c r="N8" s="413">
        <f t="shared" si="0"/>
        <v>6.4361599999999936E-2</v>
      </c>
      <c r="O8" s="829"/>
      <c r="P8" s="971"/>
      <c r="Y8" s="76"/>
    </row>
    <row r="9" spans="2:30" ht="30" customHeight="1" thickBot="1">
      <c r="B9" s="974" t="s">
        <v>290</v>
      </c>
      <c r="C9" s="976">
        <f>C3+C5</f>
        <v>275900</v>
      </c>
      <c r="D9" s="182"/>
      <c r="E9" s="929"/>
      <c r="F9" s="931"/>
      <c r="G9" s="933"/>
      <c r="H9" s="935"/>
      <c r="I9" s="240" t="s">
        <v>43</v>
      </c>
      <c r="J9" s="460">
        <f>ROUNDUP(PMT($C$7/12,12,-$H$4)-C16/12,2)</f>
        <v>13046.880000000001</v>
      </c>
      <c r="K9" s="458">
        <f>J9*12-H4</f>
        <v>6562.5599999999977</v>
      </c>
      <c r="L9" s="414">
        <f>RATE(12,-J9,$H$4)*12</f>
        <v>7.9800388345894299E-2</v>
      </c>
      <c r="M9" s="294">
        <f>K9/$H$4/1</f>
        <v>4.3750399999999988E-2</v>
      </c>
      <c r="N9" s="414">
        <f t="shared" si="0"/>
        <v>4.3750399999999988E-2</v>
      </c>
      <c r="O9" s="972"/>
      <c r="P9" s="973"/>
    </row>
    <row r="10" spans="2:30" ht="17.149999999999999" customHeight="1" thickBot="1">
      <c r="B10" s="975"/>
      <c r="C10" s="977"/>
      <c r="D10" s="206"/>
    </row>
    <row r="11" spans="2:30" ht="17.149999999999999" customHeight="1">
      <c r="B11" s="395"/>
      <c r="C11" s="204"/>
      <c r="D11" s="206"/>
    </row>
    <row r="12" spans="2:30" ht="31" customHeight="1">
      <c r="B12" s="965" t="s">
        <v>557</v>
      </c>
      <c r="C12" s="965"/>
      <c r="D12" s="206"/>
    </row>
    <row r="13" spans="2:30" ht="31" customHeight="1">
      <c r="B13" s="603"/>
      <c r="C13" s="604"/>
      <c r="D13" s="206"/>
    </row>
    <row r="14" spans="2:30" ht="31" customHeight="1">
      <c r="B14" s="957"/>
      <c r="C14" s="957"/>
      <c r="D14" s="206"/>
    </row>
    <row r="15" spans="2:30" ht="17.149999999999999" customHeight="1">
      <c r="B15" s="395"/>
      <c r="C15" s="204"/>
      <c r="D15" s="206"/>
    </row>
    <row r="16" spans="2:30" ht="30" hidden="1" customHeight="1">
      <c r="B16" s="226" t="s">
        <v>202</v>
      </c>
      <c r="C16" s="226">
        <v>0</v>
      </c>
      <c r="D16" s="206"/>
      <c r="E16" s="241" t="s">
        <v>72</v>
      </c>
      <c r="F16" s="232" t="s">
        <v>60</v>
      </c>
      <c r="G16" s="233" t="s">
        <v>59</v>
      </c>
      <c r="H16" s="286" t="s">
        <v>262</v>
      </c>
      <c r="I16" s="286" t="s">
        <v>61</v>
      </c>
      <c r="J16" s="234" t="s">
        <v>234</v>
      </c>
      <c r="K16" s="235" t="s">
        <v>74</v>
      </c>
      <c r="L16" s="236" t="s">
        <v>198</v>
      </c>
      <c r="M16" s="237" t="s">
        <v>62</v>
      </c>
      <c r="N16" s="415"/>
      <c r="O16" s="238" t="s">
        <v>63</v>
      </c>
      <c r="P16" s="287" t="s">
        <v>199</v>
      </c>
      <c r="Q16" s="207"/>
      <c r="Y16" s="59"/>
      <c r="Z16" s="60" t="s">
        <v>75</v>
      </c>
    </row>
    <row r="17" spans="2:30" ht="30" hidden="1" customHeight="1">
      <c r="B17" s="227"/>
      <c r="C17" s="228"/>
      <c r="D17" s="206"/>
      <c r="E17" s="927" t="s">
        <v>217</v>
      </c>
      <c r="F17" s="930">
        <f>G17/C9</f>
        <v>0.71003986951794129</v>
      </c>
      <c r="G17" s="932">
        <f>C9-H17</f>
        <v>195900</v>
      </c>
      <c r="H17" s="934">
        <v>80000</v>
      </c>
      <c r="I17" s="200" t="s">
        <v>38</v>
      </c>
      <c r="J17" s="274">
        <f>ROUNDUP(PMT(C7/12,60,-H17,K17)-C16/60,2)</f>
        <v>869.97</v>
      </c>
      <c r="K17" s="961">
        <f>C9*20%</f>
        <v>55180</v>
      </c>
      <c r="L17" s="291">
        <f>J17*60-(H17-K17)</f>
        <v>27378.200000000004</v>
      </c>
      <c r="M17" s="293">
        <f>RATE(60,-J17,$H$17,-$K$17)*12</f>
        <v>7.9800074210589073E-2</v>
      </c>
      <c r="N17" s="413"/>
      <c r="O17" s="293">
        <f>L17/$H$17/5</f>
        <v>6.844550000000002E-2</v>
      </c>
      <c r="P17" s="954" t="e">
        <f>VLOOKUP(C7,'参数-非厂贴方案配置'!A4:I6,3,0)</f>
        <v>#N/A</v>
      </c>
      <c r="Q17" s="207"/>
      <c r="Y17" s="70"/>
      <c r="Z17" s="65" t="s">
        <v>67</v>
      </c>
      <c r="AA17" s="912">
        <v>24</v>
      </c>
      <c r="AB17" s="913"/>
      <c r="AC17" s="41" t="s">
        <v>68</v>
      </c>
      <c r="AD17" s="66"/>
    </row>
    <row r="18" spans="2:30" ht="30" hidden="1" customHeight="1">
      <c r="B18" s="196"/>
      <c r="C18" s="217"/>
      <c r="D18" s="206"/>
      <c r="E18" s="928"/>
      <c r="F18" s="930"/>
      <c r="G18" s="932"/>
      <c r="H18" s="934"/>
      <c r="I18" s="200" t="s">
        <v>39</v>
      </c>
      <c r="J18" s="274">
        <f>ROUNDUP(PMT(C7/12,48,-H17,K17)-C16/48,2)</f>
        <v>972.65</v>
      </c>
      <c r="K18" s="961"/>
      <c r="L18" s="291">
        <f>J18*48-(H17-K17)</f>
        <v>21867.199999999997</v>
      </c>
      <c r="M18" s="293">
        <f>RATE(48,-J18,$H$17,-$K$17)*12</f>
        <v>7.9801258303848793E-2</v>
      </c>
      <c r="N18" s="413"/>
      <c r="O18" s="293">
        <f>L18/$H$17/4</f>
        <v>6.8334999999999993E-2</v>
      </c>
      <c r="P18" s="954"/>
      <c r="Q18" s="207"/>
      <c r="Y18" s="70"/>
      <c r="Z18" s="65" t="s">
        <v>69</v>
      </c>
      <c r="AA18" s="914">
        <f>H17-(J17*AA17-AA20)</f>
        <v>71237.086781975799</v>
      </c>
      <c r="AB18" s="915"/>
      <c r="AC18" s="68"/>
      <c r="AD18" s="66"/>
    </row>
    <row r="19" spans="2:30" ht="30" hidden="1" customHeight="1">
      <c r="D19" s="197"/>
      <c r="E19" s="928"/>
      <c r="F19" s="930"/>
      <c r="G19" s="932"/>
      <c r="H19" s="934"/>
      <c r="I19" s="200" t="s">
        <v>40</v>
      </c>
      <c r="J19" s="274">
        <f>ROUNDUP(PMT(C7/12,36,-H17,K19)-C16/36,2)</f>
        <v>463.65</v>
      </c>
      <c r="K19" s="961">
        <f>C9*30%</f>
        <v>82770</v>
      </c>
      <c r="L19" s="291">
        <f>J19*36-(H17-K19)</f>
        <v>19461.399999999998</v>
      </c>
      <c r="M19" s="293">
        <f>RATE(36,-J19,$H$17,-$K$19)*12</f>
        <v>7.9800838656862855E-2</v>
      </c>
      <c r="N19" s="413"/>
      <c r="O19" s="293">
        <f>L19/$H$17/3</f>
        <v>8.1089166666666657E-2</v>
      </c>
      <c r="P19" s="954"/>
      <c r="Q19" s="207"/>
      <c r="Y19" s="76"/>
      <c r="Z19" s="65" t="s">
        <v>76</v>
      </c>
      <c r="AA19" s="919">
        <f>L17-AA20</f>
        <v>15261.833218024211</v>
      </c>
      <c r="AB19" s="920"/>
      <c r="AC19" s="68"/>
      <c r="AD19" s="66"/>
    </row>
    <row r="20" spans="2:30" ht="30" hidden="1" customHeight="1">
      <c r="D20" s="197"/>
      <c r="E20" s="928"/>
      <c r="F20" s="930"/>
      <c r="G20" s="932"/>
      <c r="H20" s="934"/>
      <c r="I20" s="200" t="s">
        <v>41</v>
      </c>
      <c r="J20" s="274">
        <f>ROUNDUP(PMT(C7/12,24,-H17,K19)-C16/24,2)</f>
        <v>425.17</v>
      </c>
      <c r="K20" s="961"/>
      <c r="L20" s="291">
        <f>J20*24-(H17-K19)</f>
        <v>12974.08</v>
      </c>
      <c r="M20" s="293">
        <f>RATE(24,-J20,$H$17,-$K$19)*12</f>
        <v>7.9800565910707014E-2</v>
      </c>
      <c r="N20" s="413"/>
      <c r="O20" s="293">
        <f>L20/$H$17/2</f>
        <v>8.1087999999999993E-2</v>
      </c>
      <c r="P20" s="954"/>
      <c r="Q20" s="207"/>
      <c r="Y20" s="76"/>
      <c r="Z20" s="71" t="s">
        <v>71</v>
      </c>
      <c r="AA20" s="782">
        <f>(H17*(M17/12)-J17)*((1+(M17/12))^(AA17)-1)/(M17/12)+(J17)*AA17</f>
        <v>12116.366781975794</v>
      </c>
      <c r="AB20" s="782"/>
    </row>
    <row r="21" spans="2:30" ht="30" hidden="1" customHeight="1">
      <c r="D21" s="197"/>
      <c r="E21" s="928"/>
      <c r="F21" s="958"/>
      <c r="G21" s="959"/>
      <c r="H21" s="960"/>
      <c r="I21" s="208" t="s">
        <v>42</v>
      </c>
      <c r="J21" s="276">
        <f>ROUNDUP(PMT(C7/12,18,-H17,K19)-C16/18,2)</f>
        <v>386.63</v>
      </c>
      <c r="K21" s="962"/>
      <c r="L21" s="277">
        <f>J21*18-(H17-K19)</f>
        <v>9729.34</v>
      </c>
      <c r="M21" s="293">
        <f>RATE(18,-J21,$H$17,-$K$19)*12</f>
        <v>7.9800420464994151E-2</v>
      </c>
      <c r="N21" s="413"/>
      <c r="O21" s="293">
        <f>L21/$H$17/1.5</f>
        <v>8.1077833333333335E-2</v>
      </c>
      <c r="P21" s="964"/>
      <c r="Q21" s="207"/>
      <c r="Y21" s="76"/>
    </row>
    <row r="22" spans="2:30" ht="30" hidden="1" customHeight="1" thickBot="1">
      <c r="B22" s="216"/>
      <c r="C22" s="216"/>
      <c r="D22" s="197"/>
      <c r="E22" s="929"/>
      <c r="F22" s="931"/>
      <c r="G22" s="933"/>
      <c r="H22" s="935"/>
      <c r="I22" s="240" t="s">
        <v>43</v>
      </c>
      <c r="J22" s="278">
        <f>ROUNDUP(PMT(C7/12,12,-H17,K19)-C16/12,2)</f>
        <v>309.49</v>
      </c>
      <c r="K22" s="963"/>
      <c r="L22" s="292">
        <f>J22*12-(H17-K19)</f>
        <v>6483.88</v>
      </c>
      <c r="M22" s="294">
        <f>RATE(12,-J22,$H$17,-$K$19)*12</f>
        <v>7.9800270963128722E-2</v>
      </c>
      <c r="N22" s="414"/>
      <c r="O22" s="294">
        <f>L22/$H$17/1</f>
        <v>8.1048499999999996E-2</v>
      </c>
      <c r="P22" s="956"/>
    </row>
    <row r="23" spans="2:30" ht="15" customHeight="1">
      <c r="D23" s="197"/>
    </row>
    <row r="24" spans="2:30" ht="39" hidden="1" customHeight="1">
      <c r="B24" s="216"/>
      <c r="C24" s="216"/>
      <c r="D24" s="197"/>
      <c r="E24" s="241" t="s">
        <v>77</v>
      </c>
      <c r="F24" s="232" t="s">
        <v>60</v>
      </c>
      <c r="G24" s="233" t="s">
        <v>59</v>
      </c>
      <c r="H24" s="286" t="s">
        <v>272</v>
      </c>
      <c r="I24" s="286" t="s">
        <v>61</v>
      </c>
      <c r="J24" s="234" t="s">
        <v>234</v>
      </c>
      <c r="K24" s="235" t="s">
        <v>74</v>
      </c>
      <c r="L24" s="236" t="s">
        <v>198</v>
      </c>
      <c r="M24" s="237" t="s">
        <v>62</v>
      </c>
      <c r="N24" s="415"/>
      <c r="O24" s="238" t="s">
        <v>63</v>
      </c>
      <c r="P24" s="287" t="s">
        <v>199</v>
      </c>
    </row>
    <row r="25" spans="2:30" ht="45" hidden="1" customHeight="1" thickBot="1">
      <c r="B25" s="216"/>
      <c r="C25" s="216"/>
      <c r="D25" s="196"/>
      <c r="E25" s="288" t="s">
        <v>203</v>
      </c>
      <c r="F25" s="289">
        <v>0.5</v>
      </c>
      <c r="G25" s="290">
        <f>C9*F25</f>
        <v>137950</v>
      </c>
      <c r="H25" s="295">
        <f>C9-G25</f>
        <v>137950</v>
      </c>
      <c r="I25" s="239" t="s">
        <v>43</v>
      </c>
      <c r="J25" s="279">
        <f>ROUNDUP(L25/12,2)</f>
        <v>917.37</v>
      </c>
      <c r="K25" s="297">
        <f>C9*50%</f>
        <v>137950</v>
      </c>
      <c r="L25" s="292">
        <f>H25*C7-C16</f>
        <v>11008.41</v>
      </c>
      <c r="M25" s="294">
        <f>RATE(12,-J25,H25,-K25)*12</f>
        <v>7.9800217470289092E-2</v>
      </c>
      <c r="N25" s="414"/>
      <c r="O25" s="294">
        <f>L25/H25/1</f>
        <v>7.9799999999999996E-2</v>
      </c>
      <c r="P25" s="296" t="e">
        <f>VLOOKUP(C7,'参数-非厂贴方案配置'!A4:I6,4,0)</f>
        <v>#N/A</v>
      </c>
    </row>
    <row r="26" spans="2:30" ht="30" hidden="1" customHeight="1" thickBot="1">
      <c r="B26" s="216"/>
      <c r="C26" s="216"/>
      <c r="D26" s="206"/>
    </row>
    <row r="27" spans="2:30" ht="39" hidden="1" customHeight="1">
      <c r="B27" s="198"/>
      <c r="C27" s="198"/>
      <c r="D27" s="198"/>
      <c r="E27" s="241" t="s">
        <v>116</v>
      </c>
      <c r="F27" s="232" t="s">
        <v>60</v>
      </c>
      <c r="G27" s="233" t="s">
        <v>59</v>
      </c>
      <c r="H27" s="286" t="s">
        <v>273</v>
      </c>
      <c r="I27" s="286" t="s">
        <v>61</v>
      </c>
      <c r="J27" s="234" t="s">
        <v>234</v>
      </c>
      <c r="K27" s="236" t="s">
        <v>198</v>
      </c>
      <c r="L27" s="237" t="s">
        <v>62</v>
      </c>
      <c r="M27" s="238" t="s">
        <v>63</v>
      </c>
      <c r="N27" s="238"/>
      <c r="O27" s="925" t="s">
        <v>199</v>
      </c>
      <c r="P27" s="926"/>
      <c r="U27" s="209" t="s">
        <v>204</v>
      </c>
      <c r="V27" s="209" t="s">
        <v>205</v>
      </c>
    </row>
    <row r="28" spans="2:30" ht="30" hidden="1" customHeight="1">
      <c r="B28" s="196"/>
      <c r="C28" s="206"/>
      <c r="D28" s="198"/>
      <c r="E28" s="927" t="s">
        <v>206</v>
      </c>
      <c r="F28" s="930">
        <v>0.4</v>
      </c>
      <c r="G28" s="947">
        <f>C9*F28</f>
        <v>110360</v>
      </c>
      <c r="H28" s="949">
        <f>C9*60%</f>
        <v>165540</v>
      </c>
      <c r="I28" s="214" t="s">
        <v>207</v>
      </c>
      <c r="J28" s="280">
        <f>V28</f>
        <v>1100.8409999999999</v>
      </c>
      <c r="K28" s="951">
        <f>(V28+V30)*12</f>
        <v>19815.137999999999</v>
      </c>
      <c r="L28" s="938">
        <f>C7</f>
        <v>7.9799999999999996E-2</v>
      </c>
      <c r="M28" s="938">
        <f>K28/H28/2</f>
        <v>5.985E-2</v>
      </c>
      <c r="N28" s="413"/>
      <c r="O28" s="953" t="e">
        <f>VLOOKUP(C7,'参数-非厂贴方案配置'!A4:I6,5,0)</f>
        <v>#N/A</v>
      </c>
      <c r="P28" s="954"/>
      <c r="U28" s="201">
        <v>0</v>
      </c>
      <c r="V28" s="203">
        <f>L28/12*H28</f>
        <v>1100.8409999999999</v>
      </c>
    </row>
    <row r="29" spans="2:30" ht="30" hidden="1" customHeight="1">
      <c r="B29" s="196"/>
      <c r="C29" s="197"/>
      <c r="D29" s="206"/>
      <c r="E29" s="928"/>
      <c r="F29" s="930"/>
      <c r="G29" s="947"/>
      <c r="H29" s="949"/>
      <c r="I29" s="215" t="s">
        <v>43</v>
      </c>
      <c r="J29" s="280">
        <f>V29+U29</f>
        <v>83870.841</v>
      </c>
      <c r="K29" s="951"/>
      <c r="L29" s="938"/>
      <c r="M29" s="938"/>
      <c r="N29" s="413"/>
      <c r="O29" s="953"/>
      <c r="P29" s="954"/>
      <c r="U29" s="201">
        <f>H28*50%</f>
        <v>82770</v>
      </c>
      <c r="V29" s="203">
        <f>L28/12*H28</f>
        <v>1100.8409999999999</v>
      </c>
    </row>
    <row r="30" spans="2:30" ht="30" hidden="1" customHeight="1">
      <c r="B30" s="196"/>
      <c r="C30" s="196"/>
      <c r="D30" s="197"/>
      <c r="E30" s="928"/>
      <c r="F30" s="930"/>
      <c r="G30" s="947"/>
      <c r="H30" s="949"/>
      <c r="I30" s="215" t="s">
        <v>208</v>
      </c>
      <c r="J30" s="280">
        <f>V30</f>
        <v>550.42049999999995</v>
      </c>
      <c r="K30" s="951"/>
      <c r="L30" s="938"/>
      <c r="M30" s="938"/>
      <c r="N30" s="413"/>
      <c r="O30" s="953"/>
      <c r="P30" s="954"/>
      <c r="U30" s="201">
        <v>0</v>
      </c>
      <c r="V30" s="203">
        <f>L28/12*(H28-U29)</f>
        <v>550.42049999999995</v>
      </c>
    </row>
    <row r="31" spans="2:30" ht="30" hidden="1" customHeight="1" thickBot="1">
      <c r="B31" s="196"/>
      <c r="C31" s="196"/>
      <c r="D31" s="196"/>
      <c r="E31" s="929"/>
      <c r="F31" s="931"/>
      <c r="G31" s="948"/>
      <c r="H31" s="950"/>
      <c r="I31" s="242" t="s">
        <v>41</v>
      </c>
      <c r="J31" s="279">
        <f>V31+U31</f>
        <v>83320.420499999993</v>
      </c>
      <c r="K31" s="952"/>
      <c r="L31" s="939"/>
      <c r="M31" s="939"/>
      <c r="N31" s="414"/>
      <c r="O31" s="955"/>
      <c r="P31" s="956"/>
      <c r="U31" s="210">
        <f>H28*50%</f>
        <v>82770</v>
      </c>
      <c r="V31" s="205">
        <f>L28/12*(H28-U29)</f>
        <v>550.42049999999995</v>
      </c>
    </row>
    <row r="32" spans="2:30" ht="30" hidden="1" customHeight="1" thickBot="1">
      <c r="B32" s="196"/>
      <c r="C32" s="196"/>
      <c r="D32" s="196"/>
    </row>
    <row r="33" spans="2:22" ht="30" hidden="1" customHeight="1">
      <c r="B33" s="196"/>
      <c r="C33" s="196"/>
      <c r="D33" s="196"/>
      <c r="E33" s="241" t="s">
        <v>233</v>
      </c>
      <c r="F33" s="232" t="s">
        <v>60</v>
      </c>
      <c r="G33" s="233" t="s">
        <v>201</v>
      </c>
      <c r="H33" s="286" t="s">
        <v>262</v>
      </c>
      <c r="I33" s="286" t="s">
        <v>61</v>
      </c>
      <c r="J33" s="234" t="s">
        <v>234</v>
      </c>
      <c r="K33" s="236" t="s">
        <v>198</v>
      </c>
      <c r="L33" s="237" t="s">
        <v>62</v>
      </c>
      <c r="M33" s="238" t="s">
        <v>63</v>
      </c>
      <c r="N33" s="238"/>
      <c r="O33" s="925" t="s">
        <v>199</v>
      </c>
      <c r="P33" s="926"/>
      <c r="U33" s="209" t="s">
        <v>204</v>
      </c>
      <c r="V33" s="209" t="s">
        <v>205</v>
      </c>
    </row>
    <row r="34" spans="2:22" ht="30" hidden="1" customHeight="1">
      <c r="B34" s="196"/>
      <c r="C34" s="196"/>
      <c r="D34" s="196"/>
      <c r="E34" s="927" t="s">
        <v>209</v>
      </c>
      <c r="F34" s="930">
        <f>G34/C9</f>
        <v>0.71003986951794129</v>
      </c>
      <c r="G34" s="932">
        <f>C9-H34</f>
        <v>195900</v>
      </c>
      <c r="H34" s="934">
        <v>80000</v>
      </c>
      <c r="I34" s="200" t="s">
        <v>207</v>
      </c>
      <c r="J34" s="280">
        <f>V34+U34</f>
        <v>532</v>
      </c>
      <c r="K34" s="936">
        <f>(V34+V36+V38)*12</f>
        <v>12129.6</v>
      </c>
      <c r="L34" s="938">
        <f>C7</f>
        <v>7.9799999999999996E-2</v>
      </c>
      <c r="M34" s="938">
        <f>K34/H34/3</f>
        <v>5.0540000000000002E-2</v>
      </c>
      <c r="N34" s="413"/>
      <c r="O34" s="940" t="e">
        <f>VLOOKUP(C7,'参数-非厂贴方案配置'!A4:I6,6,0)</f>
        <v>#N/A</v>
      </c>
      <c r="P34" s="941"/>
      <c r="U34" s="201">
        <v>0</v>
      </c>
      <c r="V34" s="201">
        <f>L34/12*H34</f>
        <v>532</v>
      </c>
    </row>
    <row r="35" spans="2:22" ht="30" hidden="1" customHeight="1">
      <c r="B35" s="196"/>
      <c r="C35" s="197"/>
      <c r="D35" s="196"/>
      <c r="E35" s="928"/>
      <c r="F35" s="930"/>
      <c r="G35" s="932"/>
      <c r="H35" s="934"/>
      <c r="I35" s="200" t="s">
        <v>43</v>
      </c>
      <c r="J35" s="280">
        <f>V35+U35</f>
        <v>32532</v>
      </c>
      <c r="K35" s="936"/>
      <c r="L35" s="938"/>
      <c r="M35" s="938"/>
      <c r="N35" s="413"/>
      <c r="O35" s="940"/>
      <c r="P35" s="941"/>
      <c r="U35" s="201">
        <f>H34*40%</f>
        <v>32000</v>
      </c>
      <c r="V35" s="201">
        <f>L34/12*H34</f>
        <v>532</v>
      </c>
    </row>
    <row r="36" spans="2:22" ht="30" hidden="1" customHeight="1">
      <c r="B36" s="198"/>
      <c r="C36" s="198"/>
      <c r="D36" s="197"/>
      <c r="E36" s="928"/>
      <c r="F36" s="930"/>
      <c r="G36" s="932"/>
      <c r="H36" s="934"/>
      <c r="I36" s="200" t="s">
        <v>208</v>
      </c>
      <c r="J36" s="280">
        <f>V36+U36</f>
        <v>319.2</v>
      </c>
      <c r="K36" s="936"/>
      <c r="L36" s="938"/>
      <c r="M36" s="938"/>
      <c r="N36" s="413"/>
      <c r="O36" s="940"/>
      <c r="P36" s="941"/>
      <c r="U36" s="201">
        <v>0</v>
      </c>
      <c r="V36" s="201">
        <f>L34/12*(H34-U35)</f>
        <v>319.2</v>
      </c>
    </row>
    <row r="37" spans="2:22" ht="30" hidden="1" customHeight="1">
      <c r="B37" s="196"/>
      <c r="C37" s="197"/>
      <c r="D37" s="198"/>
      <c r="E37" s="928"/>
      <c r="F37" s="930"/>
      <c r="G37" s="932"/>
      <c r="H37" s="934"/>
      <c r="I37" s="200" t="s">
        <v>41</v>
      </c>
      <c r="J37" s="280">
        <f>U37+V37</f>
        <v>24319.200000000001</v>
      </c>
      <c r="K37" s="936"/>
      <c r="L37" s="938"/>
      <c r="M37" s="938"/>
      <c r="N37" s="413"/>
      <c r="O37" s="940"/>
      <c r="P37" s="941"/>
      <c r="U37" s="201">
        <f>H34*30%</f>
        <v>24000</v>
      </c>
      <c r="V37" s="201">
        <f>L34/12*(H34-U35)</f>
        <v>319.2</v>
      </c>
    </row>
    <row r="38" spans="2:22" ht="30" hidden="1" customHeight="1">
      <c r="B38" s="196"/>
      <c r="C38" s="196"/>
      <c r="D38" s="197"/>
      <c r="E38" s="928"/>
      <c r="F38" s="930"/>
      <c r="G38" s="932"/>
      <c r="H38" s="934"/>
      <c r="I38" s="200" t="s">
        <v>210</v>
      </c>
      <c r="J38" s="280">
        <f>V38+U38</f>
        <v>159.6</v>
      </c>
      <c r="K38" s="936"/>
      <c r="L38" s="938"/>
      <c r="M38" s="938"/>
      <c r="N38" s="413"/>
      <c r="O38" s="940"/>
      <c r="P38" s="941"/>
      <c r="U38" s="201">
        <v>0</v>
      </c>
      <c r="V38" s="201">
        <f>L34/12*(H34-U35-U37)</f>
        <v>159.6</v>
      </c>
    </row>
    <row r="39" spans="2:22" ht="30" hidden="1" customHeight="1" thickBot="1">
      <c r="B39" s="196"/>
      <c r="C39" s="197"/>
      <c r="D39" s="196"/>
      <c r="E39" s="929"/>
      <c r="F39" s="931"/>
      <c r="G39" s="933"/>
      <c r="H39" s="935"/>
      <c r="I39" s="239" t="s">
        <v>40</v>
      </c>
      <c r="J39" s="279">
        <f>U39+V39</f>
        <v>24159.599999999999</v>
      </c>
      <c r="K39" s="937"/>
      <c r="L39" s="939"/>
      <c r="M39" s="939"/>
      <c r="N39" s="414"/>
      <c r="O39" s="942"/>
      <c r="P39" s="943"/>
      <c r="U39" s="210">
        <f>H34*30%</f>
        <v>24000</v>
      </c>
      <c r="V39" s="210">
        <f>L34/12*(H34-U35-U37)</f>
        <v>159.6</v>
      </c>
    </row>
    <row r="40" spans="2:22" ht="20.149999999999999" customHeight="1">
      <c r="B40" s="198"/>
      <c r="C40" s="198"/>
      <c r="D40" s="197"/>
      <c r="L40" s="172"/>
      <c r="M40" s="95"/>
      <c r="N40" s="95"/>
      <c r="O40" s="23"/>
    </row>
    <row r="41" spans="2:22" ht="20.149999999999999" customHeight="1">
      <c r="B41" s="198"/>
      <c r="C41" s="198"/>
      <c r="D41" s="198"/>
      <c r="H41" s="211"/>
      <c r="I41" s="211"/>
      <c r="J41" s="212"/>
      <c r="K41" s="212"/>
      <c r="L41" s="172"/>
      <c r="M41" s="95"/>
      <c r="N41" s="95"/>
      <c r="O41" s="23"/>
      <c r="U41" s="213"/>
      <c r="V41" s="213"/>
    </row>
    <row r="42" spans="2:22" ht="20.149999999999999" customHeight="1">
      <c r="B42" s="198"/>
      <c r="C42" s="198"/>
      <c r="D42" s="198"/>
    </row>
    <row r="43" spans="2:22" ht="20.149999999999999" customHeight="1">
      <c r="B43" s="198"/>
      <c r="C43" s="198"/>
      <c r="D43" s="198"/>
    </row>
    <row r="44" spans="2:22" ht="20.149999999999999" customHeight="1">
      <c r="B44" s="198"/>
      <c r="C44" s="198"/>
      <c r="D44" s="198"/>
    </row>
    <row r="45" spans="2:22" ht="20.149999999999999" customHeight="1">
      <c r="B45" s="198"/>
      <c r="C45" s="198"/>
      <c r="D45" s="198"/>
    </row>
    <row r="46" spans="2:22" ht="20.149999999999999" customHeight="1">
      <c r="B46" s="198"/>
      <c r="C46" s="198"/>
      <c r="D46" s="198"/>
    </row>
    <row r="47" spans="2:22" ht="20.149999999999999" customHeight="1">
      <c r="B47" s="198"/>
      <c r="C47" s="198"/>
      <c r="D47" s="198"/>
    </row>
    <row r="48" spans="2:22" ht="20.149999999999999" customHeight="1">
      <c r="B48" s="198"/>
      <c r="C48" s="198"/>
      <c r="D48" s="198"/>
    </row>
    <row r="49" spans="2:4" ht="20.149999999999999" customHeight="1">
      <c r="B49" s="198"/>
      <c r="C49" s="198"/>
      <c r="D49" s="198"/>
    </row>
    <row r="50" spans="2:4" ht="20.149999999999999" customHeight="1">
      <c r="B50" s="198"/>
      <c r="C50" s="198"/>
      <c r="D50" s="198"/>
    </row>
    <row r="51" spans="2:4" ht="20.149999999999999" customHeight="1">
      <c r="B51" s="198"/>
      <c r="C51" s="198"/>
      <c r="D51" s="198"/>
    </row>
    <row r="52" spans="2:4" ht="20.149999999999999" customHeight="1">
      <c r="B52" s="198"/>
      <c r="C52" s="198"/>
      <c r="D52" s="198"/>
    </row>
    <row r="53" spans="2:4" ht="20.149999999999999" customHeight="1">
      <c r="B53" s="198"/>
      <c r="C53" s="198"/>
      <c r="D53" s="198"/>
    </row>
    <row r="54" spans="2:4" ht="20.149999999999999" customHeight="1">
      <c r="B54" s="198"/>
      <c r="C54" s="198"/>
      <c r="D54" s="198"/>
    </row>
    <row r="55" spans="2:4" ht="20.149999999999999" customHeight="1">
      <c r="B55" s="198"/>
      <c r="C55" s="198"/>
      <c r="D55" s="198"/>
    </row>
    <row r="56" spans="2:4" ht="20.149999999999999" customHeight="1">
      <c r="B56" s="198"/>
      <c r="C56" s="198"/>
      <c r="D56" s="198"/>
    </row>
    <row r="57" spans="2:4" ht="20.149999999999999" customHeight="1">
      <c r="B57" s="198"/>
      <c r="C57" s="198"/>
      <c r="D57" s="198"/>
    </row>
    <row r="58" spans="2:4" ht="20.149999999999999" customHeight="1">
      <c r="B58" s="198"/>
      <c r="C58" s="198"/>
      <c r="D58" s="198"/>
    </row>
    <row r="59" spans="2:4" ht="20.149999999999999" customHeight="1">
      <c r="B59" s="198"/>
      <c r="C59" s="198"/>
      <c r="D59" s="198"/>
    </row>
    <row r="60" spans="2:4" ht="20.149999999999999" customHeight="1">
      <c r="B60" s="198"/>
      <c r="C60" s="198"/>
      <c r="D60" s="198"/>
    </row>
    <row r="61" spans="2:4" ht="20.149999999999999" customHeight="1">
      <c r="B61" s="198"/>
      <c r="C61" s="198"/>
      <c r="D61" s="198"/>
    </row>
    <row r="62" spans="2:4" ht="20.149999999999999" customHeight="1">
      <c r="B62" s="198"/>
      <c r="C62" s="198"/>
      <c r="D62" s="198"/>
    </row>
    <row r="63" spans="2:4" ht="20.149999999999999" customHeight="1">
      <c r="B63" s="198"/>
      <c r="C63" s="198"/>
      <c r="D63" s="198"/>
    </row>
    <row r="64" spans="2:4" ht="20.149999999999999" customHeight="1">
      <c r="B64" s="198"/>
      <c r="C64" s="198"/>
      <c r="D64" s="198"/>
    </row>
    <row r="65" spans="2:4" ht="20.149999999999999" customHeight="1">
      <c r="B65" s="198"/>
      <c r="C65" s="198"/>
      <c r="D65" s="198"/>
    </row>
    <row r="66" spans="2:4" ht="20.149999999999999" customHeight="1">
      <c r="B66" s="198"/>
      <c r="C66" s="198"/>
      <c r="D66" s="198"/>
    </row>
    <row r="67" spans="2:4" ht="20.149999999999999" customHeight="1">
      <c r="B67" s="198"/>
      <c r="C67" s="198"/>
      <c r="D67" s="198"/>
    </row>
    <row r="68" spans="2:4" ht="20.149999999999999" customHeight="1">
      <c r="B68" s="198"/>
      <c r="C68" s="198"/>
      <c r="D68" s="198"/>
    </row>
    <row r="69" spans="2:4" ht="20.149999999999999" customHeight="1">
      <c r="B69" s="198"/>
      <c r="C69" s="198"/>
      <c r="D69" s="198"/>
    </row>
    <row r="70" spans="2:4" ht="20.149999999999999" customHeight="1">
      <c r="B70" s="198"/>
      <c r="C70" s="198"/>
      <c r="D70" s="198"/>
    </row>
    <row r="71" spans="2:4" ht="20.149999999999999" customHeight="1">
      <c r="B71" s="198"/>
      <c r="C71" s="198"/>
      <c r="D71" s="198"/>
    </row>
    <row r="72" spans="2:4" ht="20.149999999999999" customHeight="1">
      <c r="B72" s="198"/>
      <c r="C72" s="198"/>
      <c r="D72" s="198"/>
    </row>
    <row r="73" spans="2:4" ht="20.149999999999999" customHeight="1">
      <c r="B73" s="198"/>
      <c r="C73" s="198"/>
      <c r="D73" s="198"/>
    </row>
    <row r="74" spans="2:4" ht="20.149999999999999" customHeight="1">
      <c r="B74" s="198"/>
      <c r="C74" s="198"/>
      <c r="D74" s="198"/>
    </row>
    <row r="75" spans="2:4" ht="20.149999999999999" customHeight="1">
      <c r="B75" s="198"/>
      <c r="C75" s="198"/>
      <c r="D75" s="198"/>
    </row>
    <row r="76" spans="2:4" ht="20.149999999999999" customHeight="1">
      <c r="B76" s="198"/>
      <c r="C76" s="198"/>
      <c r="D76" s="198"/>
    </row>
    <row r="77" spans="2:4" ht="20.149999999999999" customHeight="1">
      <c r="B77" s="198"/>
      <c r="C77" s="198"/>
      <c r="D77" s="198"/>
    </row>
    <row r="78" spans="2:4" ht="20.149999999999999" customHeight="1">
      <c r="B78" s="198"/>
      <c r="C78" s="198"/>
      <c r="D78" s="198"/>
    </row>
    <row r="79" spans="2:4" ht="20.149999999999999" customHeight="1">
      <c r="B79" s="198"/>
      <c r="C79" s="198"/>
      <c r="D79" s="198"/>
    </row>
    <row r="80" spans="2:4" ht="20.149999999999999" customHeight="1">
      <c r="B80" s="198"/>
      <c r="C80" s="198"/>
      <c r="D80" s="198"/>
    </row>
    <row r="81" spans="2:4" ht="20.149999999999999" customHeight="1">
      <c r="B81" s="198"/>
      <c r="C81" s="198"/>
      <c r="D81" s="198"/>
    </row>
    <row r="82" spans="2:4" ht="20.149999999999999" customHeight="1">
      <c r="B82" s="198"/>
      <c r="C82" s="198"/>
      <c r="D82" s="198"/>
    </row>
    <row r="83" spans="2:4" ht="20.149999999999999" customHeight="1">
      <c r="B83" s="198"/>
      <c r="C83" s="198"/>
      <c r="D83" s="198"/>
    </row>
    <row r="84" spans="2:4" ht="20.149999999999999" customHeight="1">
      <c r="B84" s="198"/>
      <c r="C84" s="198"/>
      <c r="D84" s="198"/>
    </row>
    <row r="85" spans="2:4" ht="20.149999999999999" customHeight="1">
      <c r="B85" s="198"/>
      <c r="C85" s="198"/>
      <c r="D85" s="198"/>
    </row>
    <row r="86" spans="2:4" ht="20.149999999999999" customHeight="1">
      <c r="B86" s="198"/>
      <c r="C86" s="198"/>
      <c r="D86" s="198"/>
    </row>
    <row r="87" spans="2:4" ht="20.149999999999999" customHeight="1">
      <c r="B87" s="198"/>
      <c r="C87" s="198"/>
      <c r="D87" s="198"/>
    </row>
    <row r="88" spans="2:4" ht="20.149999999999999" customHeight="1">
      <c r="B88" s="198"/>
      <c r="C88" s="198"/>
      <c r="D88" s="198"/>
    </row>
    <row r="89" spans="2:4" ht="20.149999999999999" customHeight="1">
      <c r="B89" s="198"/>
      <c r="C89" s="198"/>
      <c r="D89" s="198"/>
    </row>
    <row r="90" spans="2:4" ht="20.149999999999999" customHeight="1">
      <c r="D90" s="198"/>
    </row>
  </sheetData>
  <sheetProtection algorithmName="SHA-512" hashValue="MkC5qkAa5qU/DTvtZLhjfpdjaZoIe+mytw1WQdpoezHN+SPgKeNv7QQBtcCgi/bKu1pNnSDmXA72x3bWULk/yQ==" saltValue="s7DaQbxIEn9gmGUkEVvnQw==" spinCount="100000" sheet="1" objects="1" scenarios="1"/>
  <mergeCells count="49">
    <mergeCell ref="B12:C12"/>
    <mergeCell ref="AA7:AB7"/>
    <mergeCell ref="B3:B4"/>
    <mergeCell ref="C3:C4"/>
    <mergeCell ref="O3:P3"/>
    <mergeCell ref="E4:E9"/>
    <mergeCell ref="F4:F9"/>
    <mergeCell ref="G4:G9"/>
    <mergeCell ref="H4:H9"/>
    <mergeCell ref="O4:P9"/>
    <mergeCell ref="B9:B10"/>
    <mergeCell ref="C9:C10"/>
    <mergeCell ref="AA4:AB4"/>
    <mergeCell ref="B5:B6"/>
    <mergeCell ref="C5:C6"/>
    <mergeCell ref="AA5:AB5"/>
    <mergeCell ref="AA6:AB6"/>
    <mergeCell ref="AA17:AB17"/>
    <mergeCell ref="AA18:AB18"/>
    <mergeCell ref="K19:K22"/>
    <mergeCell ref="AA19:AB19"/>
    <mergeCell ref="AA20:AB20"/>
    <mergeCell ref="K17:K18"/>
    <mergeCell ref="P17:P22"/>
    <mergeCell ref="B7:B8"/>
    <mergeCell ref="C7:C8"/>
    <mergeCell ref="O27:P27"/>
    <mergeCell ref="E28:E31"/>
    <mergeCell ref="F28:F31"/>
    <mergeCell ref="G28:G31"/>
    <mergeCell ref="H28:H31"/>
    <mergeCell ref="K28:K31"/>
    <mergeCell ref="L28:L31"/>
    <mergeCell ref="M28:M31"/>
    <mergeCell ref="O28:P31"/>
    <mergeCell ref="B14:C14"/>
    <mergeCell ref="E17:E22"/>
    <mergeCell ref="F17:F22"/>
    <mergeCell ref="G17:G22"/>
    <mergeCell ref="H17:H22"/>
    <mergeCell ref="O33:P33"/>
    <mergeCell ref="E34:E39"/>
    <mergeCell ref="F34:F39"/>
    <mergeCell ref="G34:G39"/>
    <mergeCell ref="H34:H39"/>
    <mergeCell ref="K34:K39"/>
    <mergeCell ref="L34:L39"/>
    <mergeCell ref="M34:M39"/>
    <mergeCell ref="O34:P39"/>
  </mergeCells>
  <phoneticPr fontId="1" type="noConversion"/>
  <conditionalFormatting sqref="B12:C12">
    <cfRule type="expression" dxfId="52" priority="1">
      <formula>$C$7=7.98%</formula>
    </cfRule>
  </conditionalFormatting>
  <conditionalFormatting sqref="F4:F9">
    <cfRule type="expression" dxfId="51" priority="11">
      <formula>$F$4&lt;15%</formula>
    </cfRule>
  </conditionalFormatting>
  <conditionalFormatting sqref="F17:F22">
    <cfRule type="expression" dxfId="50" priority="10">
      <formula>$F$17&lt;20%</formula>
    </cfRule>
  </conditionalFormatting>
  <conditionalFormatting sqref="F34:F39">
    <cfRule type="expression" dxfId="49" priority="9">
      <formula>$F$34&lt;20%</formula>
    </cfRule>
  </conditionalFormatting>
  <conditionalFormatting sqref="H4:H9">
    <cfRule type="expression" dxfId="48" priority="436">
      <formula>$H$4&lt;$C$12</formula>
    </cfRule>
  </conditionalFormatting>
  <conditionalFormatting sqref="H17:H22">
    <cfRule type="expression" dxfId="47" priority="437">
      <formula>$H$17&lt;$C$12</formula>
    </cfRule>
  </conditionalFormatting>
  <conditionalFormatting sqref="H25">
    <cfRule type="expression" dxfId="46" priority="438">
      <formula>$H$25&lt;$C$12</formula>
    </cfRule>
  </conditionalFormatting>
  <conditionalFormatting sqref="H28:H31">
    <cfRule type="expression" dxfId="45" priority="439">
      <formula>$H$28&lt;$C$12</formula>
    </cfRule>
  </conditionalFormatting>
  <conditionalFormatting sqref="H34:H39">
    <cfRule type="expression" dxfId="44" priority="440">
      <formula>$H$34&lt;$C$12</formula>
    </cfRule>
  </conditionalFormatting>
  <conditionalFormatting sqref="I5:I9">
    <cfRule type="expression" dxfId="43" priority="4">
      <formula>$C$7=7.98%</formula>
    </cfRule>
  </conditionalFormatting>
  <conditionalFormatting sqref="J5:J9">
    <cfRule type="expression" dxfId="42" priority="2">
      <formula>$C$7=7.98%</formula>
    </cfRule>
  </conditionalFormatting>
  <conditionalFormatting sqref="K5:N9">
    <cfRule type="expression" dxfId="41" priority="3">
      <formula>$C$7=7.98%</formula>
    </cfRule>
  </conditionalFormatting>
  <conditionalFormatting sqref="O28:P31">
    <cfRule type="containsText" dxfId="40" priority="6" operator="containsText" text="无方案">
      <formula>NOT(ISERROR(SEARCH("无方案",O28)))</formula>
    </cfRule>
  </conditionalFormatting>
  <conditionalFormatting sqref="O34:P39">
    <cfRule type="containsText" dxfId="39" priority="5" operator="containsText" text="无方案">
      <formula>NOT(ISERROR(SEARCH("无方案",O34)))</formula>
    </cfRule>
  </conditionalFormatting>
  <conditionalFormatting sqref="P17:P22">
    <cfRule type="containsText" dxfId="38" priority="8" operator="containsText" text="无方案">
      <formula>NOT(ISERROR(SEARCH("无方案",P17)))</formula>
    </cfRule>
  </conditionalFormatting>
  <conditionalFormatting sqref="P25">
    <cfRule type="containsText" dxfId="37" priority="7" operator="containsText" text="无方案">
      <formula>NOT(ISERROR(SEARCH("无方案",P25)))</formula>
    </cfRule>
  </conditionalFormatting>
  <conditionalFormatting sqref="AB5 AB18">
    <cfRule type="expression" dxfId="36" priority="441">
      <formula>$B$12&lt;70000</formula>
    </cfRule>
  </conditionalFormatting>
  <conditionalFormatting sqref="AB7 AC19:AD19 AB20">
    <cfRule type="expression" dxfId="35" priority="13">
      <formula>$D$19&lt;30%</formula>
    </cfRule>
  </conditionalFormatting>
  <conditionalFormatting sqref="AC6:AD6">
    <cfRule type="expression" dxfId="34" priority="12">
      <formula>$D$19&lt;30%</formula>
    </cfRule>
  </conditionalFormatting>
  <dataValidations count="1">
    <dataValidation type="list" allowBlank="1" showInputMessage="1" showErrorMessage="1" sqref="D6" xr:uid="{00000000-0002-0000-0C00-000000000000}">
      <formula1>$B$12:$B$14</formula1>
    </dataValidation>
  </dataValidations>
  <hyperlinks>
    <hyperlink ref="P1" location="试算路径及方案简述!A1" display="返回" xr:uid="{00000000-0004-0000-0C00-000000000000}"/>
  </hyperlinks>
  <pageMargins left="0.7" right="0.7" top="0.75" bottom="0.75" header="0.3" footer="0.3"/>
  <pageSetup paperSize="9" orientation="portrait" horizontalDpi="300" verticalDpi="0" copies="0" r:id="rId1"/>
  <drawing r:id="rId2"/>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0C00-000001000000}">
          <x14:formula1>
            <xm:f>'参数-非厂贴方案配置'!$A$6:$A$7</xm:f>
          </x14:formula1>
          <xm:sqref>C7:C8</xm:sqref>
        </x14:dataValidation>
      </x14:dataValidations>
    </ext>
  </extLst>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tabColor theme="5" tint="0.39997558519241921"/>
  </sheetPr>
  <dimension ref="B1:W65"/>
  <sheetViews>
    <sheetView topLeftCell="C1" zoomScale="50" zoomScaleNormal="50" workbookViewId="0">
      <selection activeCell="P1" sqref="P1"/>
    </sheetView>
  </sheetViews>
  <sheetFormatPr defaultColWidth="8.75" defaultRowHeight="20.149999999999999" customHeight="1"/>
  <cols>
    <col min="1" max="1" width="1.58203125" style="23" customWidth="1"/>
    <col min="2" max="2" width="22.08203125" style="23" customWidth="1"/>
    <col min="3" max="3" width="28.75" style="23" customWidth="1"/>
    <col min="4" max="4" width="2.33203125" style="23" customWidth="1"/>
    <col min="5" max="5" width="16.08203125" style="23" customWidth="1"/>
    <col min="6" max="6" width="10.25" style="23" customWidth="1"/>
    <col min="7" max="7" width="13.4140625" style="95" customWidth="1"/>
    <col min="8" max="8" width="15.08203125" style="23" customWidth="1"/>
    <col min="9" max="9" width="8.4140625" style="23" customWidth="1"/>
    <col min="10" max="10" width="18.25" style="23" customWidth="1"/>
    <col min="11" max="11" width="18.08203125" style="95" customWidth="1"/>
    <col min="12" max="12" width="20.4140625" style="95" customWidth="1"/>
    <col min="13" max="13" width="20.4140625" style="172" customWidth="1"/>
    <col min="14" max="14" width="17.75" style="172" customWidth="1"/>
    <col min="15" max="15" width="16.4140625" style="95" customWidth="1"/>
    <col min="16" max="16" width="65.58203125" style="23" customWidth="1"/>
    <col min="17" max="18" width="1.75" style="23" customWidth="1"/>
    <col min="19" max="19" width="8.75" style="23"/>
    <col min="20" max="21" width="11.25" style="23" customWidth="1"/>
    <col min="22" max="22" width="14.08203125" style="23" customWidth="1"/>
    <col min="23" max="16384" width="8.75" style="23"/>
  </cols>
  <sheetData>
    <row r="1" spans="2:23" ht="88" customHeight="1">
      <c r="P1" s="354" t="s">
        <v>44</v>
      </c>
      <c r="S1" s="97"/>
    </row>
    <row r="2" spans="2:23" ht="20.149999999999999" customHeight="1" thickBot="1">
      <c r="B2" s="173" t="s">
        <v>339</v>
      </c>
      <c r="E2" s="184" t="s">
        <v>57</v>
      </c>
      <c r="H2" s="184"/>
      <c r="I2" s="184"/>
    </row>
    <row r="3" spans="2:23" ht="40" customHeight="1">
      <c r="B3" s="966" t="s">
        <v>292</v>
      </c>
      <c r="C3" s="978">
        <v>100000</v>
      </c>
      <c r="D3" s="199"/>
      <c r="E3" s="231" t="s">
        <v>58</v>
      </c>
      <c r="F3" s="232" t="s">
        <v>60</v>
      </c>
      <c r="G3" s="233" t="s">
        <v>59</v>
      </c>
      <c r="H3" s="598" t="s">
        <v>567</v>
      </c>
      <c r="I3" s="286" t="s">
        <v>61</v>
      </c>
      <c r="J3" s="234" t="s">
        <v>234</v>
      </c>
      <c r="K3" s="236" t="s">
        <v>344</v>
      </c>
      <c r="L3" s="237" t="s">
        <v>62</v>
      </c>
      <c r="M3" s="238" t="s">
        <v>63</v>
      </c>
      <c r="N3" s="238" t="s">
        <v>306</v>
      </c>
      <c r="O3" s="969" t="s">
        <v>440</v>
      </c>
      <c r="P3" s="970"/>
      <c r="R3" s="59"/>
      <c r="S3" s="60"/>
      <c r="T3" s="60" t="s">
        <v>378</v>
      </c>
    </row>
    <row r="4" spans="2:23" ht="30" customHeight="1">
      <c r="B4" s="945"/>
      <c r="C4" s="979"/>
      <c r="D4" s="199"/>
      <c r="E4" s="928" t="s">
        <v>216</v>
      </c>
      <c r="F4" s="930">
        <f>G4/C9</f>
        <v>0.2</v>
      </c>
      <c r="G4" s="932">
        <f>C9-H4</f>
        <v>20000</v>
      </c>
      <c r="H4" s="934">
        <v>80000</v>
      </c>
      <c r="I4" s="200" t="s">
        <v>38</v>
      </c>
      <c r="J4" s="459">
        <f>ROUNDUP(PMT($C$7/12,60,-$H$4)-C11/60,2)</f>
        <v>1658.23</v>
      </c>
      <c r="K4" s="457">
        <f>J4*60-H4</f>
        <v>19493.800000000003</v>
      </c>
      <c r="L4" s="293">
        <f>RATE(60,-J4,$H$4)*12</f>
        <v>8.9371697390875859E-2</v>
      </c>
      <c r="M4" s="293">
        <f>K4/$H$4/5</f>
        <v>4.8734500000000007E-2</v>
      </c>
      <c r="N4" s="413">
        <f t="shared" ref="N4:N9" si="0">K4/$H$4</f>
        <v>0.24367250000000004</v>
      </c>
      <c r="O4" s="829" t="str">
        <f>VLOOKUP(C7,'参数-非厂贴方案配置'!A4:I7,7,0)</f>
        <v>个人申请：8.98新通用 新优速贷/个体工商户升级 经销商贴息_12-60期
企业申请：8.98新通用 新公牌易贷/个体工商户  经销商贴息_12-60期
企业商用：8.98新通用_营运租赁_经销商贴息_12-36期</v>
      </c>
      <c r="P4" s="971"/>
      <c r="R4" s="70"/>
      <c r="S4" s="65" t="s">
        <v>67</v>
      </c>
      <c r="T4" s="912">
        <v>24</v>
      </c>
      <c r="U4" s="913"/>
      <c r="V4" s="456" t="s">
        <v>370</v>
      </c>
      <c r="W4" s="66"/>
    </row>
    <row r="5" spans="2:23" ht="30" customHeight="1">
      <c r="B5" s="945" t="s">
        <v>289</v>
      </c>
      <c r="C5" s="979">
        <v>0</v>
      </c>
      <c r="D5" s="199"/>
      <c r="E5" s="928"/>
      <c r="F5" s="930"/>
      <c r="G5" s="932"/>
      <c r="H5" s="934"/>
      <c r="I5" s="200" t="s">
        <v>39</v>
      </c>
      <c r="J5" s="459">
        <f>ROUNDUP(PMT($C$7/12,48,-$H$4)-C11/48,2)</f>
        <v>1987.97</v>
      </c>
      <c r="K5" s="457">
        <f>J5*48-H4</f>
        <v>15422.559999999998</v>
      </c>
      <c r="L5" s="293">
        <f>RATE(48,-J5,$H$4)*12</f>
        <v>8.9253792879298105E-2</v>
      </c>
      <c r="M5" s="293">
        <f>K5/$H$4/4</f>
        <v>4.8195499999999995E-2</v>
      </c>
      <c r="N5" s="413">
        <f t="shared" si="0"/>
        <v>0.19278199999999998</v>
      </c>
      <c r="O5" s="829"/>
      <c r="P5" s="971"/>
      <c r="R5" s="70"/>
      <c r="S5" s="65" t="s">
        <v>69</v>
      </c>
      <c r="T5" s="914">
        <f>H4-(J4*T4-T7)</f>
        <v>52194.018563854363</v>
      </c>
      <c r="U5" s="915"/>
      <c r="V5" s="68"/>
      <c r="W5" s="66"/>
    </row>
    <row r="6" spans="2:23" ht="30" customHeight="1">
      <c r="B6" s="945"/>
      <c r="C6" s="979"/>
      <c r="D6" s="202"/>
      <c r="E6" s="928"/>
      <c r="F6" s="930"/>
      <c r="G6" s="932"/>
      <c r="H6" s="934"/>
      <c r="I6" s="200" t="s">
        <v>40</v>
      </c>
      <c r="J6" s="459">
        <f>ROUNDUP(PMT($C$7/12,36,-$H$4)-C11/36,2)</f>
        <v>2540.46</v>
      </c>
      <c r="K6" s="457">
        <f>J6*36-H4</f>
        <v>11456.559999999998</v>
      </c>
      <c r="L6" s="293">
        <f>RATE(36,-J6,$H$4)*12</f>
        <v>8.9054582763814533E-2</v>
      </c>
      <c r="M6" s="293">
        <f>K6/$H$4/3</f>
        <v>4.7735666666666655E-2</v>
      </c>
      <c r="N6" s="413">
        <f t="shared" si="0"/>
        <v>0.14320699999999997</v>
      </c>
      <c r="O6" s="829"/>
      <c r="P6" s="971"/>
      <c r="R6" s="76"/>
      <c r="S6" s="65" t="s">
        <v>76</v>
      </c>
      <c r="T6" s="919">
        <f>K4-T7</f>
        <v>7502.2614361456399</v>
      </c>
      <c r="U6" s="920"/>
      <c r="V6" s="68"/>
      <c r="W6" s="66"/>
    </row>
    <row r="7" spans="2:23" ht="30" customHeight="1">
      <c r="B7" s="944" t="s">
        <v>603</v>
      </c>
      <c r="C7" s="946">
        <v>8.9800000000000005E-2</v>
      </c>
      <c r="D7" s="204"/>
      <c r="E7" s="928"/>
      <c r="F7" s="930"/>
      <c r="G7" s="932"/>
      <c r="H7" s="934"/>
      <c r="I7" s="200" t="s">
        <v>41</v>
      </c>
      <c r="J7" s="459">
        <f>ROUNDUP(PMT($C$7/12,24,-$H$4)-C11/24,2)</f>
        <v>3649.88</v>
      </c>
      <c r="K7" s="457">
        <f>J7*24-H4</f>
        <v>7597.1199999999953</v>
      </c>
      <c r="L7" s="293">
        <f>RATE(24,-J7,$H$4)*12</f>
        <v>8.8664686105404331E-2</v>
      </c>
      <c r="M7" s="293">
        <f>K7/$H$4/2</f>
        <v>4.7481999999999969E-2</v>
      </c>
      <c r="N7" s="413">
        <f t="shared" si="0"/>
        <v>9.4963999999999937E-2</v>
      </c>
      <c r="O7" s="829"/>
      <c r="P7" s="971"/>
      <c r="R7" s="76"/>
      <c r="S7" s="71" t="s">
        <v>71</v>
      </c>
      <c r="T7" s="782">
        <f>(H4*(L4/12)-J4)*((1+(L4/12))^(T4)-1)/(L4/12)+(J4)*T4</f>
        <v>11991.538563854363</v>
      </c>
      <c r="U7" s="782"/>
    </row>
    <row r="8" spans="2:23" ht="30" customHeight="1">
      <c r="B8" s="945"/>
      <c r="C8" s="946"/>
      <c r="D8" s="182"/>
      <c r="E8" s="928"/>
      <c r="F8" s="930"/>
      <c r="G8" s="932"/>
      <c r="H8" s="934"/>
      <c r="I8" s="200" t="s">
        <v>42</v>
      </c>
      <c r="J8" s="459">
        <f>ROUNDUP(PMT($C$7/12,18,-$H$4)-C11/18,2)</f>
        <v>4761.5300000000007</v>
      </c>
      <c r="K8" s="457">
        <f>J8*18-H4</f>
        <v>5707.5400000000081</v>
      </c>
      <c r="L8" s="293">
        <f>RATE(18,-J8,$H$4)*12</f>
        <v>8.8285975313454557E-2</v>
      </c>
      <c r="M8" s="293">
        <f>K8/$H$4/1.5</f>
        <v>4.7562833333333394E-2</v>
      </c>
      <c r="N8" s="413">
        <f t="shared" si="0"/>
        <v>7.1344250000000095E-2</v>
      </c>
      <c r="O8" s="829"/>
      <c r="P8" s="971"/>
      <c r="R8" s="76"/>
    </row>
    <row r="9" spans="2:23" ht="30" customHeight="1" thickBot="1">
      <c r="B9" s="980" t="s">
        <v>291</v>
      </c>
      <c r="C9" s="982">
        <f>C3+C5</f>
        <v>100000</v>
      </c>
      <c r="D9" s="182"/>
      <c r="E9" s="929"/>
      <c r="F9" s="931"/>
      <c r="G9" s="933"/>
      <c r="H9" s="935"/>
      <c r="I9" s="240" t="s">
        <v>43</v>
      </c>
      <c r="J9" s="460">
        <f>ROUNDUP(PMT($C$7/12,12,-$H$4)-C11/12,2)</f>
        <v>6987.05</v>
      </c>
      <c r="K9" s="458">
        <f>J9*12-H4</f>
        <v>3844.6000000000058</v>
      </c>
      <c r="L9" s="294">
        <f>RATE(12,-J9,$H$4)*12</f>
        <v>8.7554769715968095E-2</v>
      </c>
      <c r="M9" s="294">
        <f>K9/$H$4/1</f>
        <v>4.8057500000000072E-2</v>
      </c>
      <c r="N9" s="414">
        <f t="shared" si="0"/>
        <v>4.8057500000000072E-2</v>
      </c>
      <c r="O9" s="972"/>
      <c r="P9" s="973"/>
    </row>
    <row r="10" spans="2:23" ht="17.149999999999999" customHeight="1">
      <c r="B10" s="981"/>
      <c r="C10" s="982"/>
      <c r="D10" s="206"/>
      <c r="G10" s="23"/>
      <c r="K10" s="23"/>
      <c r="L10" s="23"/>
      <c r="M10" s="23"/>
      <c r="N10" s="23"/>
      <c r="O10" s="23"/>
    </row>
    <row r="11" spans="2:23" ht="41" customHeight="1">
      <c r="B11" s="658" t="s">
        <v>256</v>
      </c>
      <c r="C11" s="659">
        <v>100</v>
      </c>
      <c r="D11" s="983" t="s">
        <v>54</v>
      </c>
      <c r="E11" s="984"/>
      <c r="F11" s="984"/>
      <c r="G11" s="23"/>
      <c r="K11" s="23"/>
      <c r="L11" s="23"/>
      <c r="M11" s="23"/>
      <c r="N11" s="23"/>
      <c r="O11" s="23"/>
    </row>
    <row r="12" spans="2:23" ht="20" customHeight="1">
      <c r="B12" s="196"/>
      <c r="D12" s="206"/>
      <c r="G12" s="23"/>
      <c r="K12" s="23"/>
      <c r="L12" s="23"/>
      <c r="M12" s="23"/>
      <c r="N12" s="23"/>
      <c r="O12" s="23"/>
    </row>
    <row r="13" spans="2:23" ht="30" customHeight="1">
      <c r="B13" s="965" t="s">
        <v>557</v>
      </c>
      <c r="C13" s="965"/>
      <c r="D13" s="197"/>
      <c r="G13" s="23"/>
      <c r="K13" s="23"/>
      <c r="L13" s="23"/>
      <c r="M13" s="23"/>
      <c r="N13" s="23"/>
      <c r="O13" s="23"/>
    </row>
    <row r="14" spans="2:23" ht="30" customHeight="1">
      <c r="B14" s="601"/>
      <c r="C14" s="602"/>
      <c r="D14" s="197"/>
      <c r="G14" s="23"/>
      <c r="K14" s="23"/>
      <c r="L14" s="23"/>
      <c r="M14" s="23"/>
      <c r="N14" s="23"/>
      <c r="O14" s="23"/>
    </row>
    <row r="15" spans="2:23" ht="30" customHeight="1">
      <c r="B15" s="603"/>
      <c r="C15" s="604"/>
      <c r="D15" s="197"/>
      <c r="G15" s="23"/>
      <c r="K15" s="23"/>
      <c r="L15" s="23"/>
      <c r="M15" s="23"/>
      <c r="N15" s="23"/>
      <c r="O15" s="23"/>
    </row>
    <row r="16" spans="2:23" ht="30" customHeight="1">
      <c r="B16" s="957"/>
      <c r="C16" s="957"/>
      <c r="D16" s="197"/>
    </row>
    <row r="17" spans="2:23" ht="18" hidden="1" customHeight="1">
      <c r="B17" s="216"/>
      <c r="C17" s="216"/>
      <c r="D17" s="197"/>
      <c r="E17" s="231" t="s">
        <v>72</v>
      </c>
      <c r="F17" s="232" t="s">
        <v>60</v>
      </c>
      <c r="G17" s="233" t="s">
        <v>59</v>
      </c>
      <c r="H17" s="286" t="s">
        <v>262</v>
      </c>
      <c r="I17" s="286" t="s">
        <v>61</v>
      </c>
      <c r="J17" s="281" t="s">
        <v>234</v>
      </c>
      <c r="K17" s="235" t="s">
        <v>74</v>
      </c>
      <c r="L17" s="236" t="s">
        <v>198</v>
      </c>
      <c r="M17" s="237" t="s">
        <v>62</v>
      </c>
      <c r="N17" s="415"/>
      <c r="O17" s="238" t="s">
        <v>63</v>
      </c>
      <c r="P17" s="287" t="s">
        <v>199</v>
      </c>
      <c r="Q17" s="207"/>
      <c r="R17" s="59"/>
      <c r="S17" s="60" t="s">
        <v>75</v>
      </c>
    </row>
    <row r="18" spans="2:23" ht="37" hidden="1" customHeight="1">
      <c r="B18" s="216"/>
      <c r="C18" s="216"/>
      <c r="D18" s="197"/>
      <c r="E18" s="927" t="s">
        <v>217</v>
      </c>
      <c r="F18" s="930">
        <f>G18/C9</f>
        <v>0.2</v>
      </c>
      <c r="G18" s="932">
        <f>C9-H18</f>
        <v>20000</v>
      </c>
      <c r="H18" s="934">
        <v>80000</v>
      </c>
      <c r="I18" s="200" t="s">
        <v>38</v>
      </c>
      <c r="J18" s="274">
        <f>ROUNDUP(PMT(C7/12,60,-H18,K18)-C11/60,2)</f>
        <v>1392.92</v>
      </c>
      <c r="K18" s="961">
        <f>C9*20%</f>
        <v>20000</v>
      </c>
      <c r="L18" s="291">
        <f>J18*60-(H18-K18)</f>
        <v>23575.200000000012</v>
      </c>
      <c r="M18" s="293">
        <f>RATE(60,-J18,$H$18,-$K$18)*12</f>
        <v>8.9436088776337658E-2</v>
      </c>
      <c r="N18" s="413"/>
      <c r="O18" s="293">
        <f>L18/$H$18/5</f>
        <v>5.8938000000000025E-2</v>
      </c>
      <c r="P18" s="954" t="str">
        <f>VLOOKUP(C7,'参数-非厂贴方案配置'!A4:I6,8,0)</f>
        <v>无方案</v>
      </c>
      <c r="Q18" s="207"/>
      <c r="R18" s="70"/>
      <c r="S18" s="65" t="s">
        <v>67</v>
      </c>
      <c r="T18" s="912">
        <v>24</v>
      </c>
      <c r="U18" s="913"/>
      <c r="V18" s="41" t="s">
        <v>68</v>
      </c>
      <c r="W18" s="66"/>
    </row>
    <row r="19" spans="2:23" ht="45" hidden="1" customHeight="1">
      <c r="B19" s="216"/>
      <c r="C19" s="216"/>
      <c r="D19" s="196"/>
      <c r="E19" s="928"/>
      <c r="F19" s="930"/>
      <c r="G19" s="932"/>
      <c r="H19" s="934"/>
      <c r="I19" s="200" t="s">
        <v>39</v>
      </c>
      <c r="J19" s="274">
        <f>ROUNDUP(PMT(C7/12,48,-H18,K18)-C11/48,2)</f>
        <v>1640.12</v>
      </c>
      <c r="K19" s="961"/>
      <c r="L19" s="291">
        <f>J19*48-(H18-K18)</f>
        <v>18725.759999999995</v>
      </c>
      <c r="M19" s="293">
        <f>RATE(48,-J19,$H$18,-$K$18)*12</f>
        <v>8.9339355853581173E-2</v>
      </c>
      <c r="N19" s="413"/>
      <c r="O19" s="293">
        <f>L19/$H$18/4</f>
        <v>5.8517999999999987E-2</v>
      </c>
      <c r="P19" s="954"/>
      <c r="Q19" s="207"/>
      <c r="R19" s="70"/>
      <c r="S19" s="65" t="s">
        <v>69</v>
      </c>
      <c r="T19" s="914">
        <f>H18-(J18*T18-T21)</f>
        <v>59147.72016232858</v>
      </c>
      <c r="U19" s="915"/>
      <c r="V19" s="68"/>
      <c r="W19" s="66"/>
    </row>
    <row r="20" spans="2:23" ht="30" hidden="1" customHeight="1">
      <c r="B20" s="216"/>
      <c r="C20" s="216"/>
      <c r="D20" s="206"/>
      <c r="E20" s="928"/>
      <c r="F20" s="930"/>
      <c r="G20" s="932"/>
      <c r="H20" s="934"/>
      <c r="I20" s="200" t="s">
        <v>40</v>
      </c>
      <c r="J20" s="274">
        <f>ROUNDUP(PMT(C7/12,36,-H18,K20)-C11/36,2)</f>
        <v>1811.25</v>
      </c>
      <c r="K20" s="961">
        <f>C9*30%</f>
        <v>30000</v>
      </c>
      <c r="L20" s="291">
        <f>J20*36-(H18-K20)</f>
        <v>15205</v>
      </c>
      <c r="M20" s="293">
        <f>RATE(36,-J20,$H$18,-$K$20)*12</f>
        <v>8.9225772526988364E-2</v>
      </c>
      <c r="N20" s="413"/>
      <c r="O20" s="293">
        <f>L20/$H$18/3</f>
        <v>6.335416666666667E-2</v>
      </c>
      <c r="P20" s="954"/>
      <c r="Q20" s="207"/>
      <c r="R20" s="76"/>
      <c r="S20" s="65" t="s">
        <v>76</v>
      </c>
      <c r="T20" s="919">
        <f>L18-T21</f>
        <v>10997.399837671426</v>
      </c>
      <c r="U20" s="920"/>
      <c r="V20" s="68"/>
      <c r="W20" s="66"/>
    </row>
    <row r="21" spans="2:23" ht="20.149999999999999" hidden="1" customHeight="1">
      <c r="B21" s="198"/>
      <c r="C21" s="198"/>
      <c r="D21" s="198"/>
      <c r="E21" s="928"/>
      <c r="F21" s="930"/>
      <c r="G21" s="932"/>
      <c r="H21" s="934"/>
      <c r="I21" s="200" t="s">
        <v>41</v>
      </c>
      <c r="J21" s="274">
        <f>ROUNDUP(PMT(C7/12,24,-H18,K20)-C11/24,2)</f>
        <v>2504.1200000000003</v>
      </c>
      <c r="K21" s="961"/>
      <c r="L21" s="291">
        <f>J21*24-(H18-K20)</f>
        <v>10098.880000000005</v>
      </c>
      <c r="M21" s="293">
        <f>RATE(24,-J21,$H$18,-$K$20)*12</f>
        <v>8.8932458300880313E-2</v>
      </c>
      <c r="N21" s="413"/>
      <c r="O21" s="293">
        <f>L21/$H$18/2</f>
        <v>6.3118000000000035E-2</v>
      </c>
      <c r="P21" s="954"/>
      <c r="Q21" s="207"/>
      <c r="R21" s="76"/>
      <c r="S21" s="71" t="s">
        <v>71</v>
      </c>
      <c r="T21" s="782">
        <f>(H18*(M18/12)-J18)*((1+(M18/12))^(T18)-1)/(M18/12)+(J18)*T18</f>
        <v>12577.800162328585</v>
      </c>
      <c r="U21" s="782"/>
    </row>
    <row r="22" spans="2:23" ht="20.149999999999999" hidden="1" customHeight="1">
      <c r="B22" s="198"/>
      <c r="C22" s="198"/>
      <c r="D22" s="198"/>
      <c r="E22" s="928"/>
      <c r="F22" s="958"/>
      <c r="G22" s="959"/>
      <c r="H22" s="960"/>
      <c r="I22" s="208" t="s">
        <v>42</v>
      </c>
      <c r="J22" s="276">
        <f>ROUNDUP(PMT(C7/12,18,-H18,K20)-C11/18,2)</f>
        <v>3198.3700000000003</v>
      </c>
      <c r="K22" s="962"/>
      <c r="L22" s="277">
        <f>J22*18-(H18-K20)</f>
        <v>7570.6600000000035</v>
      </c>
      <c r="M22" s="293">
        <f>RATE(18,-J22,$H$18,-$K$20)*12</f>
        <v>8.8640605084343127E-2</v>
      </c>
      <c r="N22" s="413"/>
      <c r="O22" s="293">
        <f>L22/$H$18/1.5</f>
        <v>6.3088833333333358E-2</v>
      </c>
      <c r="P22" s="964"/>
      <c r="Q22" s="207"/>
      <c r="R22" s="76"/>
    </row>
    <row r="23" spans="2:23" ht="20.149999999999999" hidden="1" customHeight="1" thickBot="1">
      <c r="B23" s="198"/>
      <c r="C23" s="198"/>
      <c r="D23" s="198"/>
      <c r="E23" s="929"/>
      <c r="F23" s="931"/>
      <c r="G23" s="933"/>
      <c r="H23" s="935"/>
      <c r="I23" s="240" t="s">
        <v>43</v>
      </c>
      <c r="J23" s="278">
        <f>ROUNDUP(PMT(C7/12,12,-H18,K20)-C11/12,2)</f>
        <v>4588.2800000000007</v>
      </c>
      <c r="K23" s="963"/>
      <c r="L23" s="292">
        <f>J23*12-(H18-K20)</f>
        <v>5059.3600000000079</v>
      </c>
      <c r="M23" s="294">
        <f>RATE(12,-J23,$H$18,-$K$20)*12</f>
        <v>8.8071013214803415E-2</v>
      </c>
      <c r="N23" s="414"/>
      <c r="O23" s="294">
        <f>L23/$H$18/1</f>
        <v>6.3242000000000104E-2</v>
      </c>
      <c r="P23" s="956"/>
    </row>
    <row r="24" spans="2:23" ht="20.149999999999999" hidden="1" customHeight="1" thickBot="1">
      <c r="B24" s="198"/>
      <c r="C24" s="198"/>
      <c r="D24" s="198"/>
    </row>
    <row r="25" spans="2:23" ht="20.149999999999999" hidden="1" customHeight="1">
      <c r="B25" s="198"/>
      <c r="C25" s="198"/>
      <c r="D25" s="198"/>
      <c r="E25" s="231" t="s">
        <v>77</v>
      </c>
      <c r="F25" s="232" t="s">
        <v>60</v>
      </c>
      <c r="G25" s="233" t="s">
        <v>59</v>
      </c>
      <c r="H25" s="286" t="s">
        <v>272</v>
      </c>
      <c r="I25" s="286" t="s">
        <v>61</v>
      </c>
      <c r="J25" s="281" t="s">
        <v>234</v>
      </c>
      <c r="K25" s="235" t="s">
        <v>74</v>
      </c>
      <c r="L25" s="236" t="s">
        <v>198</v>
      </c>
      <c r="M25" s="237" t="s">
        <v>62</v>
      </c>
      <c r="N25" s="415"/>
      <c r="O25" s="238" t="s">
        <v>63</v>
      </c>
      <c r="P25" s="287" t="s">
        <v>199</v>
      </c>
    </row>
    <row r="26" spans="2:23" ht="20.149999999999999" hidden="1" customHeight="1" thickBot="1">
      <c r="B26" s="198"/>
      <c r="C26" s="198"/>
      <c r="D26" s="198"/>
      <c r="E26" s="288" t="s">
        <v>203</v>
      </c>
      <c r="F26" s="289">
        <v>0.5</v>
      </c>
      <c r="G26" s="290">
        <f>C9*F26</f>
        <v>50000</v>
      </c>
      <c r="H26" s="295">
        <f>C9-G26</f>
        <v>50000</v>
      </c>
      <c r="I26" s="239" t="s">
        <v>43</v>
      </c>
      <c r="J26" s="275">
        <f>ROUNDUP(L26/12,2)</f>
        <v>365.84</v>
      </c>
      <c r="K26" s="297">
        <f>C9*50%</f>
        <v>50000</v>
      </c>
      <c r="L26" s="292">
        <f>H26*C7-C11</f>
        <v>4390</v>
      </c>
      <c r="M26" s="294">
        <f>RATE(12,-J26,H26,-K26)*12</f>
        <v>8.7801600000160351E-2</v>
      </c>
      <c r="N26" s="414"/>
      <c r="O26" s="294">
        <f>L26/H26/1</f>
        <v>8.7800000000000003E-2</v>
      </c>
      <c r="P26" s="296" t="str">
        <f>VLOOKUP(C7,'参数-非厂贴方案配置'!A4:I6,9,0)</f>
        <v>企业申请：新通用经销商贴息 新公牌易贷5050 8.98%</v>
      </c>
    </row>
    <row r="27" spans="2:23" ht="20.149999999999999" customHeight="1">
      <c r="B27" s="198"/>
      <c r="C27" s="198"/>
      <c r="D27" s="198"/>
    </row>
    <row r="28" spans="2:23" ht="20.149999999999999" customHeight="1">
      <c r="B28" s="198"/>
      <c r="C28" s="198"/>
      <c r="D28" s="198"/>
    </row>
    <row r="29" spans="2:23" ht="20.149999999999999" customHeight="1">
      <c r="B29" s="198"/>
      <c r="C29" s="198"/>
      <c r="D29" s="198"/>
    </row>
    <row r="30" spans="2:23" ht="20.149999999999999" customHeight="1">
      <c r="B30" s="198"/>
      <c r="C30" s="198"/>
      <c r="D30" s="198"/>
    </row>
    <row r="31" spans="2:23" ht="20.149999999999999" customHeight="1">
      <c r="B31" s="198"/>
      <c r="C31" s="198"/>
      <c r="D31" s="198"/>
    </row>
    <row r="32" spans="2:23" ht="20.149999999999999" customHeight="1">
      <c r="B32" s="198"/>
      <c r="C32" s="198"/>
      <c r="D32" s="198"/>
    </row>
    <row r="33" spans="2:4" ht="20.149999999999999" customHeight="1">
      <c r="B33" s="198"/>
      <c r="C33" s="198"/>
      <c r="D33" s="198"/>
    </row>
    <row r="34" spans="2:4" ht="20.149999999999999" customHeight="1">
      <c r="B34" s="198"/>
      <c r="C34" s="198"/>
      <c r="D34" s="198"/>
    </row>
    <row r="35" spans="2:4" ht="20.149999999999999" customHeight="1">
      <c r="B35" s="198"/>
      <c r="C35" s="198"/>
      <c r="D35" s="198"/>
    </row>
    <row r="36" spans="2:4" ht="20.149999999999999" customHeight="1">
      <c r="B36" s="198"/>
      <c r="C36" s="198"/>
      <c r="D36" s="198"/>
    </row>
    <row r="37" spans="2:4" ht="20.149999999999999" customHeight="1">
      <c r="B37" s="198"/>
      <c r="C37" s="198"/>
      <c r="D37" s="198"/>
    </row>
    <row r="38" spans="2:4" ht="20.149999999999999" customHeight="1">
      <c r="B38" s="198"/>
      <c r="C38" s="198"/>
      <c r="D38" s="198"/>
    </row>
    <row r="39" spans="2:4" ht="20.149999999999999" customHeight="1">
      <c r="B39" s="198"/>
      <c r="C39" s="198"/>
      <c r="D39" s="198"/>
    </row>
    <row r="40" spans="2:4" ht="20.149999999999999" customHeight="1">
      <c r="B40" s="198"/>
      <c r="C40" s="198"/>
      <c r="D40" s="198"/>
    </row>
    <row r="41" spans="2:4" ht="20.149999999999999" customHeight="1">
      <c r="B41" s="198"/>
      <c r="C41" s="198"/>
      <c r="D41" s="198"/>
    </row>
    <row r="42" spans="2:4" ht="20.149999999999999" customHeight="1">
      <c r="B42" s="198"/>
      <c r="C42" s="198"/>
      <c r="D42" s="198"/>
    </row>
    <row r="43" spans="2:4" ht="20.149999999999999" customHeight="1">
      <c r="B43" s="198"/>
      <c r="C43" s="198"/>
      <c r="D43" s="198"/>
    </row>
    <row r="44" spans="2:4" ht="20.149999999999999" customHeight="1">
      <c r="B44" s="198"/>
      <c r="C44" s="198"/>
      <c r="D44" s="198"/>
    </row>
    <row r="45" spans="2:4" ht="20.149999999999999" customHeight="1">
      <c r="B45" s="198"/>
      <c r="C45" s="198"/>
      <c r="D45" s="198"/>
    </row>
    <row r="46" spans="2:4" ht="20.149999999999999" customHeight="1">
      <c r="B46" s="198"/>
      <c r="C46" s="198"/>
      <c r="D46" s="198"/>
    </row>
    <row r="47" spans="2:4" ht="20.149999999999999" customHeight="1">
      <c r="B47" s="198"/>
      <c r="C47" s="198"/>
      <c r="D47" s="198"/>
    </row>
    <row r="48" spans="2:4" ht="20.149999999999999" customHeight="1">
      <c r="B48" s="198"/>
      <c r="C48" s="198"/>
      <c r="D48" s="198"/>
    </row>
    <row r="49" spans="2:4" ht="20.149999999999999" customHeight="1">
      <c r="B49" s="198"/>
      <c r="C49" s="198"/>
      <c r="D49" s="198"/>
    </row>
    <row r="50" spans="2:4" ht="20.149999999999999" customHeight="1">
      <c r="B50" s="198"/>
      <c r="C50" s="198"/>
      <c r="D50" s="198"/>
    </row>
    <row r="51" spans="2:4" ht="20.149999999999999" customHeight="1">
      <c r="B51" s="198"/>
      <c r="C51" s="198"/>
      <c r="D51" s="198"/>
    </row>
    <row r="52" spans="2:4" ht="20.149999999999999" customHeight="1">
      <c r="B52" s="198"/>
      <c r="C52" s="198"/>
      <c r="D52" s="198"/>
    </row>
    <row r="53" spans="2:4" ht="20.149999999999999" customHeight="1">
      <c r="B53" s="198"/>
      <c r="C53" s="198"/>
      <c r="D53" s="198"/>
    </row>
    <row r="54" spans="2:4" ht="20.149999999999999" customHeight="1">
      <c r="B54" s="198"/>
      <c r="C54" s="198"/>
      <c r="D54" s="198"/>
    </row>
    <row r="55" spans="2:4" ht="20.149999999999999" customHeight="1">
      <c r="B55" s="198"/>
      <c r="C55" s="198"/>
      <c r="D55" s="198"/>
    </row>
    <row r="56" spans="2:4" ht="20.149999999999999" customHeight="1">
      <c r="B56" s="198"/>
      <c r="C56" s="198"/>
      <c r="D56" s="198"/>
    </row>
    <row r="57" spans="2:4" ht="20.149999999999999" customHeight="1">
      <c r="B57" s="198"/>
      <c r="C57" s="198"/>
      <c r="D57" s="198"/>
    </row>
    <row r="58" spans="2:4" ht="20.149999999999999" customHeight="1">
      <c r="B58" s="198"/>
      <c r="C58" s="198"/>
      <c r="D58" s="198"/>
    </row>
    <row r="59" spans="2:4" ht="20.149999999999999" customHeight="1">
      <c r="B59" s="198"/>
      <c r="C59" s="198"/>
      <c r="D59" s="198"/>
    </row>
    <row r="60" spans="2:4" ht="20.149999999999999" customHeight="1">
      <c r="B60" s="198"/>
      <c r="C60" s="198"/>
      <c r="D60" s="198"/>
    </row>
    <row r="61" spans="2:4" ht="20.149999999999999" customHeight="1">
      <c r="B61" s="198"/>
      <c r="C61" s="198"/>
      <c r="D61" s="198"/>
    </row>
    <row r="62" spans="2:4" ht="20.149999999999999" customHeight="1">
      <c r="B62" s="198"/>
      <c r="C62" s="198"/>
      <c r="D62" s="198"/>
    </row>
    <row r="63" spans="2:4" ht="20.149999999999999" customHeight="1">
      <c r="B63" s="198"/>
      <c r="C63" s="198"/>
      <c r="D63" s="198"/>
    </row>
    <row r="64" spans="2:4" ht="20.149999999999999" customHeight="1">
      <c r="B64" s="198"/>
      <c r="C64" s="198"/>
      <c r="D64" s="198"/>
    </row>
    <row r="65" spans="4:4" ht="20.149999999999999" customHeight="1">
      <c r="D65" s="198"/>
    </row>
  </sheetData>
  <sheetProtection algorithmName="SHA-512" hashValue="iDl1ekO1INQnTbPxLnGkE+z5yuPug9tBRTYfxNb/9WywKmSLo8MLSSqP9bIlDi0a0J4T4KcG4KXhWsmaqnPROQ==" saltValue="ajqPoqT5YAPhRm5/x+SrMA==" spinCount="100000" sheet="1" objects="1" scenarios="1"/>
  <mergeCells count="32">
    <mergeCell ref="H18:H23"/>
    <mergeCell ref="B16:C16"/>
    <mergeCell ref="B7:B8"/>
    <mergeCell ref="C7:C8"/>
    <mergeCell ref="E18:E23"/>
    <mergeCell ref="F18:F23"/>
    <mergeCell ref="G18:G23"/>
    <mergeCell ref="B13:C13"/>
    <mergeCell ref="D11:F11"/>
    <mergeCell ref="T7:U7"/>
    <mergeCell ref="B3:B4"/>
    <mergeCell ref="C3:C4"/>
    <mergeCell ref="O3:P3"/>
    <mergeCell ref="E4:E9"/>
    <mergeCell ref="F4:F9"/>
    <mergeCell ref="G4:G9"/>
    <mergeCell ref="T4:U4"/>
    <mergeCell ref="B5:B6"/>
    <mergeCell ref="C5:C6"/>
    <mergeCell ref="T5:U5"/>
    <mergeCell ref="T6:U6"/>
    <mergeCell ref="H4:H9"/>
    <mergeCell ref="O4:P9"/>
    <mergeCell ref="B9:B10"/>
    <mergeCell ref="C9:C10"/>
    <mergeCell ref="T18:U18"/>
    <mergeCell ref="T19:U19"/>
    <mergeCell ref="K20:K23"/>
    <mergeCell ref="T20:U20"/>
    <mergeCell ref="T21:U21"/>
    <mergeCell ref="K18:K19"/>
    <mergeCell ref="P18:P23"/>
  </mergeCells>
  <phoneticPr fontId="1" type="noConversion"/>
  <conditionalFormatting sqref="B13:C13">
    <cfRule type="expression" dxfId="33" priority="3">
      <formula>$C$7=7.98%</formula>
    </cfRule>
  </conditionalFormatting>
  <conditionalFormatting sqref="C11">
    <cfRule type="expression" dxfId="32" priority="11">
      <formula>$C$11&lt;100</formula>
    </cfRule>
  </conditionalFormatting>
  <conditionalFormatting sqref="F4:F9">
    <cfRule type="expression" dxfId="31" priority="10">
      <formula>$F$4&lt;15%</formula>
    </cfRule>
  </conditionalFormatting>
  <conditionalFormatting sqref="F18:F23">
    <cfRule type="expression" dxfId="30" priority="9">
      <formula>$F$18&lt;20%</formula>
    </cfRule>
  </conditionalFormatting>
  <conditionalFormatting sqref="H4">
    <cfRule type="expression" dxfId="29" priority="467">
      <formula>$H$4&lt;$C$14</formula>
    </cfRule>
  </conditionalFormatting>
  <conditionalFormatting sqref="H18:H23">
    <cfRule type="expression" dxfId="28" priority="5">
      <formula>$H$18&lt;$C$14</formula>
    </cfRule>
  </conditionalFormatting>
  <conditionalFormatting sqref="H26">
    <cfRule type="expression" dxfId="27" priority="4">
      <formula>$H$26&lt;$C$14</formula>
    </cfRule>
  </conditionalFormatting>
  <conditionalFormatting sqref="I5:I9 K5:N9">
    <cfRule type="expression" dxfId="26" priority="2">
      <formula>$C$7=7.98%</formula>
    </cfRule>
  </conditionalFormatting>
  <conditionalFormatting sqref="J5:J9">
    <cfRule type="expression" dxfId="25" priority="1">
      <formula>$C$7=7.98%</formula>
    </cfRule>
  </conditionalFormatting>
  <conditionalFormatting sqref="P18:P23">
    <cfRule type="containsText" dxfId="24" priority="8" operator="containsText" text="无方案">
      <formula>NOT(ISERROR(SEARCH("无方案",P18)))</formula>
    </cfRule>
  </conditionalFormatting>
  <conditionalFormatting sqref="P26">
    <cfRule type="containsText" dxfId="23" priority="7" operator="containsText" text="无方案">
      <formula>NOT(ISERROR(SEARCH("无方案",P26)))</formula>
    </cfRule>
  </conditionalFormatting>
  <conditionalFormatting sqref="U5">
    <cfRule type="expression" dxfId="22" priority="12">
      <formula>$B$13&lt;70000</formula>
    </cfRule>
  </conditionalFormatting>
  <conditionalFormatting sqref="U19">
    <cfRule type="expression" dxfId="21" priority="14">
      <formula>$B$13&lt;70000</formula>
    </cfRule>
  </conditionalFormatting>
  <conditionalFormatting sqref="V6:W6 U7 U21">
    <cfRule type="expression" dxfId="20" priority="13">
      <formula>$D$13&lt;30%</formula>
    </cfRule>
  </conditionalFormatting>
  <conditionalFormatting sqref="V20:W20">
    <cfRule type="expression" dxfId="19" priority="15">
      <formula>$D$13&lt;30%</formula>
    </cfRule>
  </conditionalFormatting>
  <dataValidations count="1">
    <dataValidation type="list" allowBlank="1" showInputMessage="1" showErrorMessage="1" sqref="D6" xr:uid="{00000000-0002-0000-0D00-000000000000}">
      <formula1>$B$14:$B$16</formula1>
    </dataValidation>
  </dataValidations>
  <hyperlinks>
    <hyperlink ref="P1" location="试算路径及方案简述!A1" display="返回" xr:uid="{00000000-0004-0000-0D00-000000000000}"/>
  </hyperlinks>
  <pageMargins left="0.7" right="0.7" top="0.75" bottom="0.75" header="0.3" footer="0.3"/>
  <pageSetup paperSize="9" orientation="portrait" horizontalDpi="300" verticalDpi="0" copies="0" r:id="rId1"/>
  <drawing r:id="rId2"/>
  <extLst>
    <ext xmlns:x14="http://schemas.microsoft.com/office/spreadsheetml/2009/9/main" uri="{CCE6A557-97BC-4b89-ADB6-D9C93CAAB3DF}">
      <x14:dataValidations xmlns:xm="http://schemas.microsoft.com/office/excel/2006/main" count="1">
        <x14:dataValidation type="list" allowBlank="1" showInputMessage="1" showErrorMessage="1" xr:uid="{3DF0ED0C-5DB7-4F0C-8D09-8BD3E6685B26}">
          <x14:formula1>
            <xm:f>'参数-非厂贴方案配置'!$A$6:$A$7</xm:f>
          </x14:formula1>
          <xm:sqref>C7:C8</xm:sqref>
        </x14:dataValidation>
      </x14:dataValidations>
    </ext>
  </extLst>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tabColor theme="5" tint="0.79998168889431442"/>
  </sheetPr>
  <dimension ref="A1:P31"/>
  <sheetViews>
    <sheetView zoomScale="50" zoomScaleNormal="50" workbookViewId="0">
      <pane ySplit="10" topLeftCell="A11" activePane="bottomLeft" state="frozen"/>
      <selection pane="bottomLeft" activeCell="G5" sqref="G5"/>
    </sheetView>
  </sheetViews>
  <sheetFormatPr defaultColWidth="8.75" defaultRowHeight="16.5"/>
  <cols>
    <col min="1" max="1" width="17.08203125" style="23" customWidth="1"/>
    <col min="2" max="2" width="17.33203125" style="23" customWidth="1"/>
    <col min="3" max="3" width="19.58203125" style="23" customWidth="1"/>
    <col min="4" max="4" width="16.33203125" style="23" customWidth="1"/>
    <col min="5" max="5" width="16.75" style="23" customWidth="1"/>
    <col min="6" max="6" width="20" style="23" customWidth="1"/>
    <col min="7" max="7" width="59.08203125" style="23" customWidth="1"/>
    <col min="8" max="8" width="2.33203125" style="23" customWidth="1"/>
    <col min="9" max="9" width="23.08203125" style="23" customWidth="1"/>
    <col min="10" max="10" width="19.08203125" style="23" customWidth="1"/>
    <col min="11" max="11" width="11.75" style="23" customWidth="1"/>
    <col min="12" max="16" width="7.75" style="23" customWidth="1"/>
    <col min="17" max="16384" width="8.75" style="23"/>
  </cols>
  <sheetData>
    <row r="1" spans="1:15" ht="76.5" customHeight="1">
      <c r="G1" s="354" t="s">
        <v>44</v>
      </c>
      <c r="M1" s="24"/>
      <c r="N1" s="24"/>
    </row>
    <row r="2" spans="1:15" ht="21.65" customHeight="1">
      <c r="A2" s="25" t="s">
        <v>338</v>
      </c>
      <c r="G2" s="357"/>
      <c r="I2" s="34"/>
      <c r="J2" s="34"/>
      <c r="M2" s="24"/>
      <c r="N2" s="24"/>
    </row>
    <row r="3" spans="1:15" ht="22.75" customHeight="1">
      <c r="A3" s="30" t="s">
        <v>288</v>
      </c>
      <c r="B3" s="798">
        <v>100000</v>
      </c>
      <c r="C3" s="798"/>
      <c r="D3" s="35"/>
      <c r="H3" s="36"/>
      <c r="I3" s="34"/>
      <c r="J3" s="34"/>
      <c r="L3" s="34"/>
    </row>
    <row r="4" spans="1:15" ht="22.75" customHeight="1">
      <c r="A4" s="30" t="s">
        <v>289</v>
      </c>
      <c r="B4" s="798">
        <v>0</v>
      </c>
      <c r="C4" s="798"/>
      <c r="D4" s="27"/>
      <c r="E4" s="39"/>
      <c r="H4" s="32"/>
      <c r="I4" s="34"/>
      <c r="J4" s="34"/>
      <c r="L4" s="41"/>
    </row>
    <row r="5" spans="1:15" ht="22.75" customHeight="1">
      <c r="A5" s="42" t="s">
        <v>49</v>
      </c>
      <c r="B5" s="805">
        <f>B3+B4</f>
        <v>100000</v>
      </c>
      <c r="C5" s="805"/>
      <c r="D5" s="74" t="s">
        <v>293</v>
      </c>
      <c r="E5" s="44"/>
      <c r="I5" s="34"/>
      <c r="J5" s="34"/>
      <c r="K5" s="24"/>
    </row>
    <row r="6" spans="1:15" s="24" customFormat="1" ht="22.4" customHeight="1">
      <c r="A6" s="45" t="s">
        <v>245</v>
      </c>
      <c r="B6" s="813">
        <v>30000</v>
      </c>
      <c r="C6" s="813"/>
      <c r="D6" s="252" t="s">
        <v>294</v>
      </c>
      <c r="E6" s="91"/>
      <c r="F6" s="23"/>
      <c r="G6" s="23"/>
      <c r="H6" s="46"/>
      <c r="I6" s="34"/>
      <c r="J6" s="34"/>
      <c r="K6" s="23"/>
    </row>
    <row r="7" spans="1:15" ht="4" customHeight="1">
      <c r="H7" s="39"/>
      <c r="I7" s="39"/>
      <c r="J7" s="28"/>
      <c r="K7" s="28"/>
    </row>
    <row r="8" spans="1:15" ht="30" hidden="1" customHeight="1">
      <c r="A8" s="47" t="s">
        <v>53</v>
      </c>
      <c r="B8" s="865">
        <v>0</v>
      </c>
      <c r="C8" s="865"/>
      <c r="D8" s="48"/>
      <c r="H8" s="49"/>
      <c r="I8" s="49"/>
      <c r="J8" s="28"/>
      <c r="K8" s="28"/>
    </row>
    <row r="9" spans="1:15" ht="16.5" customHeight="1">
      <c r="O9" s="51" t="s">
        <v>56</v>
      </c>
    </row>
    <row r="10" spans="1:15" ht="22.5" customHeight="1" thickBot="1">
      <c r="A10" s="52" t="s">
        <v>57</v>
      </c>
      <c r="B10" s="53"/>
      <c r="C10" s="54"/>
      <c r="D10" s="92"/>
    </row>
    <row r="11" spans="1:15" ht="22" customHeight="1" thickTop="1">
      <c r="A11" s="307" t="s">
        <v>58</v>
      </c>
      <c r="B11" s="308" t="s">
        <v>59</v>
      </c>
      <c r="C11" s="309" t="s">
        <v>60</v>
      </c>
      <c r="D11" s="342"/>
      <c r="E11" s="344"/>
      <c r="F11" s="340"/>
      <c r="G11" s="264"/>
      <c r="H11" s="27"/>
    </row>
    <row r="12" spans="1:15" ht="26.15" customHeight="1">
      <c r="A12" s="842" t="s">
        <v>275</v>
      </c>
      <c r="B12" s="312">
        <f>B5-B6</f>
        <v>70000</v>
      </c>
      <c r="C12" s="313">
        <f>B12/B5</f>
        <v>0.7</v>
      </c>
      <c r="D12" s="271" t="s">
        <v>197</v>
      </c>
      <c r="E12" s="311"/>
      <c r="F12" s="340"/>
      <c r="G12" s="264"/>
      <c r="H12" s="27"/>
    </row>
    <row r="13" spans="1:15" ht="0.65" customHeight="1">
      <c r="A13" s="842"/>
      <c r="B13" s="271"/>
      <c r="C13" s="271"/>
      <c r="D13" s="271"/>
      <c r="E13" s="271"/>
      <c r="F13" s="271"/>
      <c r="G13" s="271"/>
    </row>
    <row r="14" spans="1:15" ht="22" customHeight="1">
      <c r="A14" s="842"/>
      <c r="B14" s="305" t="s">
        <v>61</v>
      </c>
      <c r="C14" s="314" t="s">
        <v>234</v>
      </c>
      <c r="D14" s="355" t="s">
        <v>344</v>
      </c>
      <c r="E14" s="315" t="s">
        <v>276</v>
      </c>
      <c r="F14" s="356" t="s">
        <v>277</v>
      </c>
      <c r="G14" s="316" t="s">
        <v>65</v>
      </c>
      <c r="H14" s="59"/>
      <c r="I14" s="60" t="s">
        <v>66</v>
      </c>
    </row>
    <row r="15" spans="1:15" ht="22" customHeight="1">
      <c r="A15" s="842"/>
      <c r="B15" s="301" t="s">
        <v>38</v>
      </c>
      <c r="C15" s="282">
        <f>ROUNDUP(PMT(6.88%/12,60,-$B$6)-B8/60,2)</f>
        <v>592.34</v>
      </c>
      <c r="D15" s="365">
        <f>C15*60-B6</f>
        <v>5540.4000000000015</v>
      </c>
      <c r="E15" s="302">
        <f>RATE(60,-C15,B6)*12</f>
        <v>6.8800750966688765E-2</v>
      </c>
      <c r="F15" s="303">
        <f>D15/$B$6/5</f>
        <v>3.693600000000001E-2</v>
      </c>
      <c r="G15" s="816" t="s">
        <v>326</v>
      </c>
      <c r="H15" s="59"/>
      <c r="I15" s="65" t="s">
        <v>67</v>
      </c>
      <c r="J15" s="787">
        <v>24</v>
      </c>
      <c r="K15" s="787"/>
      <c r="L15" s="41" t="s">
        <v>68</v>
      </c>
      <c r="M15" s="66"/>
      <c r="N15" s="67"/>
    </row>
    <row r="16" spans="1:15" ht="22" customHeight="1">
      <c r="A16" s="842"/>
      <c r="B16" s="301" t="s">
        <v>39</v>
      </c>
      <c r="C16" s="282">
        <f>ROUNDUP(PMT(6.88%/12,48,-$B$6)-B8/48,2)</f>
        <v>716.72</v>
      </c>
      <c r="D16" s="365">
        <f>C16*48-B6</f>
        <v>4402.5599999999977</v>
      </c>
      <c r="E16" s="302">
        <f>RATE(48,-C16,B6)*12</f>
        <v>6.8801222688632813E-2</v>
      </c>
      <c r="F16" s="303">
        <f>D16/$B$6/4</f>
        <v>3.6687999999999978E-2</v>
      </c>
      <c r="G16" s="817"/>
      <c r="H16" s="59"/>
      <c r="I16" s="65" t="s">
        <v>69</v>
      </c>
      <c r="J16" s="795">
        <f>B6-(C15*J15-J18)</f>
        <v>19217.907120094831</v>
      </c>
      <c r="K16" s="795"/>
      <c r="L16" s="68"/>
      <c r="M16" s="66"/>
      <c r="N16" s="67"/>
    </row>
    <row r="17" spans="1:16" ht="22" customHeight="1">
      <c r="A17" s="842"/>
      <c r="B17" s="301" t="s">
        <v>40</v>
      </c>
      <c r="C17" s="283">
        <f>ROUNDUP(PMT(6.88%/12,36,-$B$6)-B8/36,2)</f>
        <v>924.67</v>
      </c>
      <c r="D17" s="366">
        <f>C17*36-B6</f>
        <v>3288.1199999999953</v>
      </c>
      <c r="E17" s="302">
        <f>RATE(36,-C17,B6)*12</f>
        <v>6.8801593172057432E-2</v>
      </c>
      <c r="F17" s="303">
        <f>D17/$B$6/3</f>
        <v>3.6534666666666611E-2</v>
      </c>
      <c r="G17" s="817"/>
      <c r="H17" s="59"/>
      <c r="I17" s="69" t="s">
        <v>70</v>
      </c>
      <c r="J17" s="796">
        <f>D15-J18</f>
        <v>2106.3328799051706</v>
      </c>
      <c r="K17" s="796"/>
      <c r="L17" s="68"/>
      <c r="M17" s="66"/>
      <c r="N17" s="67"/>
    </row>
    <row r="18" spans="1:16" ht="22" customHeight="1">
      <c r="A18" s="842"/>
      <c r="B18" s="301" t="s">
        <v>41</v>
      </c>
      <c r="C18" s="283">
        <f>ROUNDUP(PMT(6.88%/12,24,-$B$6)-B8/24,2)</f>
        <v>1341.55</v>
      </c>
      <c r="D18" s="366">
        <f>C18*24-B6</f>
        <v>2197.1999999999971</v>
      </c>
      <c r="E18" s="302">
        <f>RATE(24,-C18,B6)*12</f>
        <v>6.8802989900608125E-2</v>
      </c>
      <c r="F18" s="303">
        <f>D18/$B$6/2</f>
        <v>3.6619999999999951E-2</v>
      </c>
      <c r="G18" s="817"/>
      <c r="H18" s="70"/>
      <c r="I18" s="71" t="s">
        <v>71</v>
      </c>
      <c r="J18" s="851">
        <f>(B6*(E15/12)-C15)*((1+(E15/12))^(J15)-1)/(E15/12)+(C15)*J15</f>
        <v>3434.0671200948309</v>
      </c>
      <c r="K18" s="851"/>
      <c r="L18" s="72"/>
      <c r="M18" s="72"/>
      <c r="N18" s="72"/>
    </row>
    <row r="19" spans="1:16" ht="22" customHeight="1">
      <c r="A19" s="842"/>
      <c r="B19" s="305" t="s">
        <v>42</v>
      </c>
      <c r="C19" s="283">
        <f>ROUNDUP(PMT(6.88%/12,18,-$B$6)-B8/18,2)</f>
        <v>1758.92</v>
      </c>
      <c r="D19" s="366">
        <f>C19*18-B6</f>
        <v>1660.5600000000013</v>
      </c>
      <c r="E19" s="302">
        <f>RATE(18,-C19,B6)*12</f>
        <v>6.8803958872673807E-2</v>
      </c>
      <c r="F19" s="303">
        <f>D19/$B$6/1.5</f>
        <v>3.6901333333333362E-2</v>
      </c>
      <c r="G19" s="817"/>
      <c r="H19" s="70"/>
      <c r="I19" s="72"/>
      <c r="J19" s="72"/>
      <c r="K19" s="72" t="s">
        <v>38</v>
      </c>
      <c r="L19" s="72" t="s">
        <v>39</v>
      </c>
      <c r="M19" s="72" t="s">
        <v>40</v>
      </c>
      <c r="N19" s="72" t="s">
        <v>41</v>
      </c>
      <c r="O19" s="72" t="s">
        <v>42</v>
      </c>
      <c r="P19" s="72" t="s">
        <v>43</v>
      </c>
    </row>
    <row r="20" spans="1:16" ht="22" customHeight="1">
      <c r="A20" s="843"/>
      <c r="B20" s="301" t="s">
        <v>43</v>
      </c>
      <c r="C20" s="283">
        <f>ROUNDUP(PMT(6.88%/12,12,-$B$6)-B8/12,2)</f>
        <v>2594.15</v>
      </c>
      <c r="D20" s="366">
        <f>C20*12-B6</f>
        <v>1129.8000000000029</v>
      </c>
      <c r="E20" s="306">
        <f>RATE(12,-C20,B6)*12</f>
        <v>6.8805006743458436E-2</v>
      </c>
      <c r="F20" s="303">
        <f>D20/$B$6/1</f>
        <v>3.7660000000000096E-2</v>
      </c>
      <c r="G20" s="818"/>
      <c r="H20" s="70"/>
      <c r="I20" s="72"/>
      <c r="J20" s="27" t="s">
        <v>281</v>
      </c>
      <c r="K20" s="27">
        <v>37000</v>
      </c>
      <c r="L20" s="27">
        <v>37000</v>
      </c>
      <c r="M20" s="27">
        <v>37000</v>
      </c>
      <c r="N20" s="92" t="s">
        <v>18</v>
      </c>
      <c r="O20" s="92" t="s">
        <v>18</v>
      </c>
      <c r="P20" s="92" t="s">
        <v>18</v>
      </c>
    </row>
    <row r="21" spans="1:16">
      <c r="J21" s="27" t="s">
        <v>282</v>
      </c>
      <c r="K21" s="27">
        <v>25000</v>
      </c>
      <c r="L21" s="27">
        <v>25000</v>
      </c>
      <c r="M21" s="27">
        <v>25000</v>
      </c>
      <c r="N21" s="27">
        <v>25000</v>
      </c>
      <c r="O21" s="27">
        <v>25000</v>
      </c>
      <c r="P21" s="27">
        <v>25000</v>
      </c>
    </row>
    <row r="22" spans="1:16" ht="17" thickBot="1">
      <c r="J22" s="27" t="s">
        <v>283</v>
      </c>
      <c r="K22" s="27">
        <v>25000</v>
      </c>
      <c r="L22" s="27">
        <v>25000</v>
      </c>
      <c r="M22" s="27">
        <v>25000</v>
      </c>
      <c r="N22" s="27">
        <v>25000</v>
      </c>
      <c r="O22" s="27">
        <v>25000</v>
      </c>
      <c r="P22" s="27">
        <v>25000</v>
      </c>
    </row>
    <row r="23" spans="1:16" ht="23" thickBot="1">
      <c r="A23" s="93" t="s">
        <v>128</v>
      </c>
      <c r="B23" s="94"/>
      <c r="J23" s="27" t="s">
        <v>264</v>
      </c>
      <c r="K23" s="27">
        <v>25000</v>
      </c>
      <c r="L23" s="27">
        <v>25000</v>
      </c>
      <c r="M23" s="27">
        <v>25000</v>
      </c>
      <c r="N23" s="27">
        <v>25000</v>
      </c>
      <c r="O23" s="27">
        <v>25000</v>
      </c>
      <c r="P23" s="27">
        <v>25000</v>
      </c>
    </row>
    <row r="24" spans="1:16" ht="278.5" customHeight="1" thickBot="1">
      <c r="A24" s="862" t="s">
        <v>129</v>
      </c>
      <c r="B24" s="863"/>
      <c r="C24" s="863"/>
      <c r="D24" s="863"/>
      <c r="E24" s="863"/>
      <c r="F24" s="864"/>
    </row>
    <row r="25" spans="1:16" ht="16.5" customHeight="1"/>
    <row r="26" spans="1:16" ht="16.5" customHeight="1"/>
    <row r="27" spans="1:16" ht="16.5" customHeight="1"/>
    <row r="28" spans="1:16" ht="16.5" customHeight="1"/>
    <row r="29" spans="1:16" ht="16.5" customHeight="1"/>
    <row r="30" spans="1:16" ht="16.5" customHeight="1"/>
    <row r="31" spans="1:16" ht="17.149999999999999" customHeight="1"/>
  </sheetData>
  <sheetProtection algorithmName="SHA-512" hashValue="W3pOKIeHHvdZr/kdFUniMSwBa41B7gV3jUbIwAdPq8lMJwm/G4Kykt9RNcptUdl7iHiDN6YuXdv8ZBNxhTP2Zw==" saltValue="mwVEc+Lg1QpjzwA1Iuto0Q==" spinCount="100000" sheet="1"/>
  <mergeCells count="12">
    <mergeCell ref="B3:C3"/>
    <mergeCell ref="B4:C4"/>
    <mergeCell ref="B5:C5"/>
    <mergeCell ref="B6:C6"/>
    <mergeCell ref="A24:F24"/>
    <mergeCell ref="B8:C8"/>
    <mergeCell ref="A12:A20"/>
    <mergeCell ref="G15:G20"/>
    <mergeCell ref="J15:K15"/>
    <mergeCell ref="J16:K16"/>
    <mergeCell ref="J17:K17"/>
    <mergeCell ref="J18:K18"/>
  </mergeCells>
  <phoneticPr fontId="1" type="noConversion"/>
  <conditionalFormatting sqref="B6:C6">
    <cfRule type="expression" dxfId="18" priority="1">
      <formula>$B$6&lt;30000</formula>
    </cfRule>
  </conditionalFormatting>
  <conditionalFormatting sqref="B15:F15">
    <cfRule type="expression" dxfId="17" priority="407">
      <formula>$B$6&lt;#REF!</formula>
    </cfRule>
    <cfRule type="expression" dxfId="16" priority="408">
      <formula>$E$15&lt;-0.001%</formula>
    </cfRule>
  </conditionalFormatting>
  <conditionalFormatting sqref="B16:F16">
    <cfRule type="expression" dxfId="15" priority="410">
      <formula>$E$16&lt;-0.001%</formula>
    </cfRule>
  </conditionalFormatting>
  <conditionalFormatting sqref="B16:F20">
    <cfRule type="expression" dxfId="14" priority="409">
      <formula>$B$6&lt;#REF!</formula>
    </cfRule>
  </conditionalFormatting>
  <conditionalFormatting sqref="B17:F17">
    <cfRule type="expression" dxfId="13" priority="412">
      <formula>$E$17&lt;-0.001%</formula>
    </cfRule>
  </conditionalFormatting>
  <conditionalFormatting sqref="B18:F18">
    <cfRule type="expression" dxfId="12" priority="414">
      <formula>$E$18&lt;-0.001%</formula>
    </cfRule>
  </conditionalFormatting>
  <conditionalFormatting sqref="B19:F19">
    <cfRule type="expression" dxfId="11" priority="416">
      <formula>$E$19&lt;-0.001%</formula>
    </cfRule>
  </conditionalFormatting>
  <conditionalFormatting sqref="B20:F20">
    <cfRule type="expression" dxfId="10" priority="418">
      <formula>$E$20&lt;-0.001%</formula>
    </cfRule>
  </conditionalFormatting>
  <conditionalFormatting sqref="C12">
    <cfRule type="expression" dxfId="9" priority="18">
      <formula>$C$12&lt;$E$11</formula>
    </cfRule>
  </conditionalFormatting>
  <conditionalFormatting sqref="D11:E11">
    <cfRule type="expression" dxfId="8" priority="2">
      <formula>$C$15&lt;$E$14</formula>
    </cfRule>
  </conditionalFormatting>
  <conditionalFormatting sqref="E12:F12">
    <cfRule type="expression" dxfId="7" priority="32">
      <formula>#REF!&gt;$F$12</formula>
    </cfRule>
  </conditionalFormatting>
  <conditionalFormatting sqref="G15">
    <cfRule type="containsText" dxfId="6" priority="31" operator="containsText" text="无方案">
      <formula>NOT(ISERROR(SEARCH("无方案",G15)))</formula>
    </cfRule>
  </conditionalFormatting>
  <dataValidations count="1">
    <dataValidation type="list" allowBlank="1" showInputMessage="1" showErrorMessage="1" sqref="J2" xr:uid="{00000000-0002-0000-0E00-000000000000}">
      <formula1>"20%,15%"</formula1>
    </dataValidation>
  </dataValidations>
  <hyperlinks>
    <hyperlink ref="G1" location="试算路径及方案简述!A1" display="返回" xr:uid="{00000000-0004-0000-0E00-000000000000}"/>
  </hyperlinks>
  <pageMargins left="0.7" right="0.7" top="0.75" bottom="0.75" header="0.3" footer="0.3"/>
  <pageSetup orientation="portrait" horizontalDpi="300" verticalDpi="0" copies="0" r:id="rId1"/>
  <drawing r:id="rId2"/>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K24"/>
  <sheetViews>
    <sheetView showGridLines="0" zoomScale="53" zoomScaleNormal="53" workbookViewId="0">
      <selection activeCell="C11" sqref="C11"/>
    </sheetView>
  </sheetViews>
  <sheetFormatPr defaultColWidth="8.58203125" defaultRowHeight="14"/>
  <cols>
    <col min="1" max="1" width="7.4140625" style="218" customWidth="1"/>
    <col min="2" max="7" width="39.4140625" style="218" customWidth="1"/>
    <col min="8" max="8" width="14.4140625" style="218" customWidth="1"/>
    <col min="9" max="9" width="28.08203125" style="218" customWidth="1"/>
    <col min="10" max="11" width="16" style="218" customWidth="1"/>
    <col min="12" max="16384" width="8.58203125" style="218"/>
  </cols>
  <sheetData>
    <row r="1" spans="1:11" ht="14.5" thickBot="1"/>
    <row r="2" spans="1:11" ht="28" customHeight="1" thickBot="1">
      <c r="A2" s="220" t="s">
        <v>215</v>
      </c>
      <c r="B2" s="985" t="s">
        <v>223</v>
      </c>
      <c r="C2" s="986"/>
      <c r="D2" s="986"/>
      <c r="E2" s="986"/>
      <c r="F2" s="987"/>
      <c r="G2" s="985" t="s">
        <v>222</v>
      </c>
      <c r="H2" s="986"/>
      <c r="I2" s="986"/>
      <c r="J2" s="986"/>
      <c r="K2" s="987"/>
    </row>
    <row r="3" spans="1:11">
      <c r="A3" s="218" t="s">
        <v>102</v>
      </c>
      <c r="B3" s="224" t="s">
        <v>216</v>
      </c>
      <c r="C3" s="224" t="s">
        <v>217</v>
      </c>
      <c r="D3" s="224">
        <v>5050</v>
      </c>
      <c r="E3" s="224">
        <v>433</v>
      </c>
      <c r="F3" s="224" t="s">
        <v>218</v>
      </c>
      <c r="G3" s="224" t="s">
        <v>216</v>
      </c>
      <c r="H3" s="224" t="s">
        <v>217</v>
      </c>
      <c r="I3" s="224">
        <v>5050</v>
      </c>
      <c r="J3" s="224">
        <v>433</v>
      </c>
      <c r="K3" s="224" t="s">
        <v>218</v>
      </c>
    </row>
    <row r="4" spans="1:11" ht="94.5" customHeight="1">
      <c r="A4" s="223">
        <v>0.109</v>
      </c>
      <c r="B4" s="221" t="s">
        <v>563</v>
      </c>
      <c r="C4" s="222" t="s">
        <v>219</v>
      </c>
      <c r="D4" s="222" t="s">
        <v>220</v>
      </c>
      <c r="E4" s="222" t="s">
        <v>18</v>
      </c>
      <c r="F4" s="222" t="s">
        <v>18</v>
      </c>
      <c r="G4" s="221" t="s">
        <v>560</v>
      </c>
      <c r="H4" s="222" t="s">
        <v>18</v>
      </c>
      <c r="I4" s="394" t="s">
        <v>221</v>
      </c>
      <c r="J4" s="222" t="s">
        <v>18</v>
      </c>
      <c r="K4" s="222" t="s">
        <v>18</v>
      </c>
    </row>
    <row r="5" spans="1:11" ht="83.15" customHeight="1">
      <c r="A5" s="223">
        <v>9.9000000000000005E-2</v>
      </c>
      <c r="B5" s="221" t="s">
        <v>564</v>
      </c>
      <c r="C5" s="222" t="s">
        <v>18</v>
      </c>
      <c r="D5" s="394" t="s">
        <v>229</v>
      </c>
      <c r="E5" s="222" t="s">
        <v>18</v>
      </c>
      <c r="F5" s="222" t="s">
        <v>18</v>
      </c>
      <c r="G5" s="221" t="s">
        <v>561</v>
      </c>
      <c r="H5" s="222" t="s">
        <v>18</v>
      </c>
      <c r="I5" s="394" t="s">
        <v>230</v>
      </c>
      <c r="J5" s="222" t="s">
        <v>18</v>
      </c>
      <c r="K5" s="222" t="s">
        <v>18</v>
      </c>
    </row>
    <row r="6" spans="1:11" ht="84">
      <c r="A6" s="223">
        <v>8.9800000000000005E-2</v>
      </c>
      <c r="B6" s="221" t="s">
        <v>565</v>
      </c>
      <c r="C6" s="222" t="s">
        <v>228</v>
      </c>
      <c r="D6" s="222" t="s">
        <v>227</v>
      </c>
      <c r="E6" s="222" t="s">
        <v>225</v>
      </c>
      <c r="F6" s="222" t="s">
        <v>226</v>
      </c>
      <c r="G6" s="221" t="s">
        <v>562</v>
      </c>
      <c r="H6" s="222" t="s">
        <v>18</v>
      </c>
      <c r="I6" s="394" t="s">
        <v>224</v>
      </c>
      <c r="J6" s="222" t="s">
        <v>18</v>
      </c>
      <c r="K6" s="222" t="s">
        <v>18</v>
      </c>
    </row>
    <row r="7" spans="1:11" ht="56">
      <c r="A7" s="660">
        <v>7.9799999999999996E-2</v>
      </c>
      <c r="B7" s="221" t="s">
        <v>558</v>
      </c>
      <c r="G7" s="221" t="s">
        <v>559</v>
      </c>
    </row>
    <row r="12" spans="1:11">
      <c r="A12" s="250" t="s">
        <v>23</v>
      </c>
      <c r="D12" s="225"/>
    </row>
    <row r="13" spans="1:11" s="398" customFormat="1">
      <c r="A13" s="222" t="s">
        <v>38</v>
      </c>
      <c r="B13" s="397" t="s">
        <v>231</v>
      </c>
    </row>
    <row r="14" spans="1:11" s="398" customFormat="1">
      <c r="A14" s="222" t="s">
        <v>38</v>
      </c>
      <c r="B14" s="397" t="s">
        <v>232</v>
      </c>
    </row>
    <row r="20" spans="1:3">
      <c r="A20" s="220" t="s">
        <v>22</v>
      </c>
      <c r="B20" s="219" t="s">
        <v>243</v>
      </c>
      <c r="C20" s="219" t="s">
        <v>244</v>
      </c>
    </row>
    <row r="21" spans="1:3" ht="28">
      <c r="A21" s="219" t="s">
        <v>38</v>
      </c>
      <c r="B21" s="221" t="s">
        <v>321</v>
      </c>
      <c r="C21" s="221" t="s">
        <v>324</v>
      </c>
    </row>
    <row r="22" spans="1:3" ht="28">
      <c r="A22" s="219" t="s">
        <v>322</v>
      </c>
      <c r="B22" s="221" t="s">
        <v>323</v>
      </c>
      <c r="C22" s="221" t="s">
        <v>325</v>
      </c>
    </row>
    <row r="23" spans="1:3" ht="28">
      <c r="A23" s="222" t="s">
        <v>38</v>
      </c>
      <c r="B23" s="394" t="s">
        <v>295</v>
      </c>
      <c r="C23" s="394" t="s">
        <v>298</v>
      </c>
    </row>
    <row r="24" spans="1:3" ht="28">
      <c r="A24" s="222" t="s">
        <v>40</v>
      </c>
      <c r="B24" s="394" t="s">
        <v>296</v>
      </c>
      <c r="C24" s="394" t="s">
        <v>297</v>
      </c>
    </row>
  </sheetData>
  <mergeCells count="2">
    <mergeCell ref="B2:F2"/>
    <mergeCell ref="G2:K2"/>
  </mergeCells>
  <phoneticPr fontId="1" type="noConversion"/>
  <pageMargins left="0.7" right="0.7" top="0.75" bottom="0.75" header="0.3" footer="0.3"/>
  <pageSetup paperSize="9" orientation="portrait" horizontalDpi="300" verticalDpi="0" copies="0" r:id="rId1"/>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tabColor rgb="FF00FFCC"/>
  </sheetPr>
  <dimension ref="A1:G13"/>
  <sheetViews>
    <sheetView zoomScale="60" zoomScaleNormal="60" workbookViewId="0">
      <selection activeCell="F19" sqref="F19"/>
    </sheetView>
  </sheetViews>
  <sheetFormatPr defaultColWidth="8.75" defaultRowHeight="14.5"/>
  <cols>
    <col min="1" max="1" width="13.33203125" style="159" customWidth="1"/>
    <col min="2" max="2" width="35.75" style="159" customWidth="1"/>
    <col min="3" max="3" width="23.75" style="159" customWidth="1"/>
    <col min="4" max="7" width="18.08203125" style="159" customWidth="1"/>
    <col min="8" max="16384" width="8.75" style="159"/>
  </cols>
  <sheetData>
    <row r="1" spans="1:7" ht="45.65" customHeight="1">
      <c r="B1" s="354" t="s">
        <v>44</v>
      </c>
    </row>
    <row r="2" spans="1:7" ht="8.15" customHeight="1" thickBot="1"/>
    <row r="3" spans="1:7" ht="33.65" customHeight="1">
      <c r="A3" s="988" t="s">
        <v>248</v>
      </c>
      <c r="B3" s="253" t="s">
        <v>249</v>
      </c>
      <c r="C3" s="158">
        <v>112800</v>
      </c>
    </row>
    <row r="4" spans="1:7" ht="33.65" customHeight="1">
      <c r="A4" s="988"/>
      <c r="B4" s="254" t="s">
        <v>252</v>
      </c>
      <c r="C4" s="160">
        <v>98000</v>
      </c>
      <c r="D4" s="161"/>
    </row>
    <row r="5" spans="1:7" ht="33.65" customHeight="1">
      <c r="A5" s="988"/>
      <c r="B5" s="254" t="s">
        <v>254</v>
      </c>
      <c r="C5" s="160">
        <v>4500</v>
      </c>
    </row>
    <row r="6" spans="1:7" ht="16.5" customHeight="1">
      <c r="A6" s="988"/>
      <c r="B6" s="989" t="s">
        <v>253</v>
      </c>
      <c r="C6" s="991">
        <v>15000</v>
      </c>
      <c r="D6" s="260" t="s">
        <v>190</v>
      </c>
      <c r="E6" s="162">
        <f>MIN(C4*15%,30000)</f>
        <v>14700</v>
      </c>
    </row>
    <row r="7" spans="1:7" ht="16.5" customHeight="1">
      <c r="A7" s="988"/>
      <c r="B7" s="990"/>
      <c r="C7" s="992"/>
      <c r="D7" s="260" t="s">
        <v>191</v>
      </c>
      <c r="E7" s="162">
        <f>MIN(C4*18%,35000)</f>
        <v>17640</v>
      </c>
    </row>
    <row r="8" spans="1:7" ht="33.65" customHeight="1" thickBot="1">
      <c r="A8" s="988"/>
      <c r="B8" s="255" t="s">
        <v>255</v>
      </c>
      <c r="C8" s="163">
        <f>C4+C5+C6</f>
        <v>117500</v>
      </c>
      <c r="D8" s="164" t="s">
        <v>250</v>
      </c>
      <c r="E8" s="165">
        <f>C3*115%</f>
        <v>129719.99999999999</v>
      </c>
    </row>
    <row r="9" spans="1:7" ht="33.65" customHeight="1">
      <c r="A9" s="988"/>
      <c r="B9" s="256" t="s">
        <v>192</v>
      </c>
      <c r="C9" s="166">
        <f>C4*D9</f>
        <v>83300</v>
      </c>
      <c r="D9" s="167">
        <v>0.85</v>
      </c>
    </row>
    <row r="10" spans="1:7" ht="33.65" customHeight="1" thickBot="1">
      <c r="A10" s="988"/>
      <c r="B10" s="257" t="s">
        <v>193</v>
      </c>
      <c r="C10" s="168">
        <f>(C5+C6)*D10</f>
        <v>15600</v>
      </c>
      <c r="D10" s="167">
        <v>0.8</v>
      </c>
      <c r="G10" s="161"/>
    </row>
    <row r="11" spans="1:7" ht="33.65" customHeight="1" thickBot="1">
      <c r="A11" s="988"/>
      <c r="B11" s="258" t="s">
        <v>194</v>
      </c>
      <c r="C11" s="169">
        <f>C9+C10</f>
        <v>98900</v>
      </c>
    </row>
    <row r="12" spans="1:7" ht="33.65" customHeight="1">
      <c r="A12" s="988"/>
      <c r="B12" s="259" t="s">
        <v>60</v>
      </c>
      <c r="C12" s="170">
        <f>(C8-C11)/C8</f>
        <v>0.15829787234042553</v>
      </c>
    </row>
    <row r="13" spans="1:7" ht="33.65" customHeight="1" thickBot="1">
      <c r="A13" s="988"/>
      <c r="B13" s="993" t="s">
        <v>195</v>
      </c>
      <c r="C13" s="994"/>
    </row>
  </sheetData>
  <sheetProtection algorithmName="SHA-512" hashValue="sGaLa5/ftucIo6i65oEmSThb7hPhfusPy3C9SvOMX3fr91UfdjbSO6dOFPjErgDm8weI8NHMAlDlhOhPLKji3A==" saltValue="y5KRtP9dtVyeXkmtSLFfFA==" spinCount="100000" sheet="1" objects="1" scenarios="1"/>
  <mergeCells count="4">
    <mergeCell ref="A3:A13"/>
    <mergeCell ref="B6:B7"/>
    <mergeCell ref="C6:C7"/>
    <mergeCell ref="B13:C13"/>
  </mergeCells>
  <phoneticPr fontId="1" type="noConversion"/>
  <conditionalFormatting sqref="C6:C7">
    <cfRule type="expression" dxfId="5" priority="7">
      <formula>$C$6&gt;$E$7</formula>
    </cfRule>
  </conditionalFormatting>
  <conditionalFormatting sqref="C8:E8">
    <cfRule type="expression" dxfId="4" priority="1">
      <formula>$C$8&gt;$E$8</formula>
    </cfRule>
  </conditionalFormatting>
  <conditionalFormatting sqref="D6:E6">
    <cfRule type="expression" dxfId="3" priority="2">
      <formula>$C$6&gt;$E$6</formula>
    </cfRule>
  </conditionalFormatting>
  <conditionalFormatting sqref="D7:E7">
    <cfRule type="expression" dxfId="2" priority="3">
      <formula>$C$6&gt;$E$7</formula>
    </cfRule>
  </conditionalFormatting>
  <hyperlinks>
    <hyperlink ref="B1" location="试算路径及方案简述!A1" display="返回" xr:uid="{00000000-0004-0000-1000-000000000000}"/>
  </hyperlinks>
  <pageMargins left="0.7" right="0.7" top="0.75" bottom="0.75" header="0.3" footer="0.3"/>
  <pageSetup orientation="portrait" horizontalDpi="300" verticalDpi="0" copies="0" r:id="rId1"/>
  <drawing r:id="rId2"/>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sheetPr>
    <tabColor theme="8" tint="0.59999389629810485"/>
  </sheetPr>
  <dimension ref="B1:P41"/>
  <sheetViews>
    <sheetView zoomScale="70" zoomScaleNormal="70" workbookViewId="0">
      <selection activeCell="C2" sqref="C2"/>
    </sheetView>
  </sheetViews>
  <sheetFormatPr defaultColWidth="8.75" defaultRowHeight="16.5"/>
  <cols>
    <col min="1" max="1" width="0.75" style="114" customWidth="1"/>
    <col min="2" max="2" width="11.33203125" style="114" customWidth="1"/>
    <col min="3" max="3" width="65.33203125" style="104" customWidth="1"/>
    <col min="4" max="4" width="23.33203125" style="104" customWidth="1"/>
    <col min="5" max="5" width="15.4140625" style="104" customWidth="1"/>
    <col min="6" max="6" width="30.58203125" style="104" customWidth="1"/>
    <col min="7" max="7" width="4.08203125" style="114" customWidth="1"/>
    <col min="8" max="8" width="27.33203125" style="466" customWidth="1"/>
    <col min="9" max="9" width="28.58203125" style="466" customWidth="1"/>
    <col min="10" max="10" width="24.4140625" style="466" customWidth="1"/>
    <col min="11" max="11" width="41.33203125" style="466" customWidth="1"/>
    <col min="12" max="12" width="43.33203125" style="466" customWidth="1"/>
    <col min="13" max="13" width="23.33203125" style="466" customWidth="1"/>
    <col min="14" max="16384" width="8.75" style="114"/>
  </cols>
  <sheetData>
    <row r="1" spans="3:15" ht="4.75" customHeight="1">
      <c r="C1" s="103"/>
      <c r="D1" s="103"/>
      <c r="E1" s="103"/>
      <c r="H1" s="465"/>
    </row>
    <row r="2" spans="3:15" ht="39.65" customHeight="1">
      <c r="C2" s="354" t="s">
        <v>44</v>
      </c>
      <c r="D2" s="103"/>
      <c r="E2" s="103"/>
      <c r="H2" s="465"/>
    </row>
    <row r="3" spans="3:15" ht="6" customHeight="1">
      <c r="H3" s="467"/>
      <c r="I3" s="468"/>
      <c r="J3" s="469"/>
      <c r="K3" s="130"/>
      <c r="L3" s="130"/>
      <c r="M3" s="468"/>
      <c r="N3" s="149"/>
      <c r="O3" s="150"/>
    </row>
    <row r="4" spans="3:15" s="130" customFormat="1" ht="18" customHeight="1">
      <c r="C4" s="131" t="s">
        <v>167</v>
      </c>
      <c r="D4" s="132"/>
    </row>
    <row r="5" spans="3:15" s="130" customFormat="1" ht="22.5" thickBot="1">
      <c r="C5" s="133" t="s">
        <v>189</v>
      </c>
      <c r="D5" s="134"/>
      <c r="E5" s="135"/>
      <c r="F5" s="135"/>
      <c r="H5" s="578" t="s">
        <v>605</v>
      </c>
      <c r="I5" s="136"/>
      <c r="J5" s="136"/>
      <c r="K5" s="137"/>
      <c r="L5" s="133"/>
    </row>
    <row r="6" spans="3:15" s="130" customFormat="1" ht="17" thickBot="1">
      <c r="C6" s="138" t="s">
        <v>135</v>
      </c>
      <c r="D6" s="1008" t="s">
        <v>247</v>
      </c>
      <c r="E6" s="1008"/>
      <c r="F6" s="1009"/>
      <c r="H6" s="139" t="s">
        <v>135</v>
      </c>
      <c r="I6" s="470" t="s">
        <v>168</v>
      </c>
      <c r="J6" s="470" t="s">
        <v>169</v>
      </c>
      <c r="K6" s="470" t="s">
        <v>357</v>
      </c>
      <c r="L6" s="471" t="s">
        <v>170</v>
      </c>
    </row>
    <row r="7" spans="3:15" s="130" customFormat="1" ht="28.4" customHeight="1">
      <c r="C7" s="1022" t="s">
        <v>246</v>
      </c>
      <c r="D7" s="1040" t="s">
        <v>351</v>
      </c>
      <c r="E7" s="1040"/>
      <c r="F7" s="1041"/>
      <c r="H7" s="1042" t="s">
        <v>396</v>
      </c>
      <c r="I7" s="1089" t="s">
        <v>171</v>
      </c>
      <c r="J7" s="1037" t="s">
        <v>353</v>
      </c>
      <c r="K7" s="1025" t="s">
        <v>172</v>
      </c>
      <c r="L7" s="1010" t="s">
        <v>173</v>
      </c>
    </row>
    <row r="8" spans="3:15" s="130" customFormat="1" ht="28.4" customHeight="1" thickBot="1">
      <c r="C8" s="1023"/>
      <c r="D8" s="1032"/>
      <c r="E8" s="1032"/>
      <c r="F8" s="1033"/>
      <c r="H8" s="1043"/>
      <c r="I8" s="1029"/>
      <c r="J8" s="1038"/>
      <c r="K8" s="1026"/>
      <c r="L8" s="1011"/>
    </row>
    <row r="9" spans="3:15" s="130" customFormat="1" ht="28.4" customHeight="1">
      <c r="C9" s="1024"/>
      <c r="D9" s="1032"/>
      <c r="E9" s="1032"/>
      <c r="F9" s="1033"/>
      <c r="H9" s="1043"/>
      <c r="I9" s="1028" t="s">
        <v>174</v>
      </c>
      <c r="J9" s="1038"/>
      <c r="K9" s="1026"/>
      <c r="L9" s="1012" t="s">
        <v>175</v>
      </c>
    </row>
    <row r="10" spans="3:15" s="130" customFormat="1" ht="34.4" customHeight="1" thickBot="1">
      <c r="C10" s="1030" t="s">
        <v>176</v>
      </c>
      <c r="D10" s="1032" t="s">
        <v>177</v>
      </c>
      <c r="E10" s="1032"/>
      <c r="F10" s="1033"/>
      <c r="H10" s="1043"/>
      <c r="I10" s="1029"/>
      <c r="J10" s="1038"/>
      <c r="K10" s="1026"/>
      <c r="L10" s="1013"/>
    </row>
    <row r="11" spans="3:15" s="130" customFormat="1" ht="34.4" customHeight="1" thickBot="1">
      <c r="C11" s="1031"/>
      <c r="D11" s="1034"/>
      <c r="E11" s="1034"/>
      <c r="F11" s="1035"/>
      <c r="H11" s="1043"/>
      <c r="I11" s="1028" t="s">
        <v>178</v>
      </c>
      <c r="J11" s="1038"/>
      <c r="K11" s="1026"/>
      <c r="L11" s="1010" t="s">
        <v>179</v>
      </c>
    </row>
    <row r="12" spans="3:15" s="130" customFormat="1" ht="52.75" customHeight="1" thickBot="1">
      <c r="C12" s="140"/>
      <c r="D12" s="1036"/>
      <c r="E12" s="1036"/>
      <c r="H12" s="1044"/>
      <c r="I12" s="1029"/>
      <c r="J12" s="1039"/>
      <c r="K12" s="1027"/>
      <c r="L12" s="1011"/>
    </row>
    <row r="13" spans="3:15" s="130" customFormat="1" ht="23.5" thickBot="1">
      <c r="C13" s="141" t="s">
        <v>180</v>
      </c>
      <c r="D13" s="141"/>
      <c r="E13" s="135"/>
      <c r="F13" s="135"/>
      <c r="H13" s="144" t="s">
        <v>188</v>
      </c>
      <c r="I13" s="144"/>
      <c r="J13" s="144"/>
      <c r="K13" s="144"/>
      <c r="L13" s="144"/>
    </row>
    <row r="14" spans="3:15" s="130" customFormat="1" ht="27.65" customHeight="1">
      <c r="C14" s="1014" t="s">
        <v>352</v>
      </c>
      <c r="D14" s="1015"/>
      <c r="E14" s="1015"/>
      <c r="F14" s="1016"/>
    </row>
    <row r="15" spans="3:15" s="130" customFormat="1" ht="22.5" thickBot="1">
      <c r="C15" s="1017"/>
      <c r="D15" s="1018"/>
      <c r="E15" s="1018"/>
      <c r="F15" s="1019"/>
      <c r="H15" s="578" t="s">
        <v>456</v>
      </c>
      <c r="I15" s="136"/>
      <c r="J15" s="136"/>
      <c r="K15" s="137"/>
      <c r="L15" s="133"/>
      <c r="M15" s="135"/>
    </row>
    <row r="16" spans="3:15" s="142" customFormat="1">
      <c r="C16" s="1017"/>
      <c r="D16" s="1018"/>
      <c r="E16" s="1018"/>
      <c r="F16" s="1019"/>
      <c r="H16" s="472" t="s">
        <v>135</v>
      </c>
      <c r="I16" s="473" t="s">
        <v>181</v>
      </c>
      <c r="J16" s="1020" t="s">
        <v>169</v>
      </c>
      <c r="K16" s="1021"/>
      <c r="L16" s="473" t="s">
        <v>357</v>
      </c>
      <c r="M16" s="474" t="s">
        <v>170</v>
      </c>
    </row>
    <row r="17" spans="2:16" s="130" customFormat="1" ht="67.5" customHeight="1" thickBot="1">
      <c r="C17" s="145" t="s">
        <v>182</v>
      </c>
      <c r="D17" s="146"/>
      <c r="E17" s="147"/>
      <c r="F17" s="148"/>
      <c r="H17" s="1098" t="s">
        <v>397</v>
      </c>
      <c r="I17" s="475" t="s">
        <v>183</v>
      </c>
      <c r="J17" s="1096" t="s">
        <v>354</v>
      </c>
      <c r="K17" s="1097"/>
      <c r="L17" s="1080" t="s">
        <v>184</v>
      </c>
      <c r="M17" s="476" t="s">
        <v>185</v>
      </c>
    </row>
    <row r="18" spans="2:16" s="130" customFormat="1" ht="67.5" customHeight="1">
      <c r="C18" s="1090" t="s">
        <v>457</v>
      </c>
      <c r="D18" s="1091"/>
      <c r="E18" s="1091"/>
      <c r="F18" s="1092"/>
      <c r="H18" s="1099"/>
      <c r="I18" s="475" t="s">
        <v>186</v>
      </c>
      <c r="J18" s="1083" t="s">
        <v>356</v>
      </c>
      <c r="K18" s="1084"/>
      <c r="L18" s="1081"/>
      <c r="M18" s="476" t="s">
        <v>175</v>
      </c>
    </row>
    <row r="19" spans="2:16" s="130" customFormat="1" ht="67.5" customHeight="1" thickBot="1">
      <c r="C19" s="1093"/>
      <c r="D19" s="1094"/>
      <c r="E19" s="1094"/>
      <c r="F19" s="1095"/>
      <c r="H19" s="1100"/>
      <c r="I19" s="477" t="s">
        <v>187</v>
      </c>
      <c r="J19" s="1085"/>
      <c r="K19" s="1086"/>
      <c r="L19" s="1082"/>
      <c r="M19" s="478" t="s">
        <v>179</v>
      </c>
    </row>
    <row r="20" spans="2:16" s="130" customFormat="1" ht="90.5" customHeight="1" thickBot="1">
      <c r="H20" s="479" t="s">
        <v>398</v>
      </c>
      <c r="I20" s="480" t="s">
        <v>399</v>
      </c>
      <c r="J20" s="1087" t="s">
        <v>355</v>
      </c>
      <c r="K20" s="1088"/>
      <c r="L20" s="481" t="s">
        <v>400</v>
      </c>
      <c r="M20" s="482" t="s">
        <v>401</v>
      </c>
    </row>
    <row r="21" spans="2:16" s="130" customFormat="1" ht="25" customHeight="1">
      <c r="H21" s="483" t="s">
        <v>188</v>
      </c>
      <c r="I21" s="484"/>
      <c r="J21" s="484"/>
      <c r="K21" s="484"/>
      <c r="L21" s="143"/>
      <c r="M21" s="143"/>
    </row>
    <row r="22" spans="2:16" s="130" customFormat="1" ht="58" customHeight="1">
      <c r="B22" s="114"/>
      <c r="C22" s="104"/>
      <c r="D22" s="104"/>
      <c r="E22" s="104"/>
      <c r="F22" s="104"/>
      <c r="G22" s="114"/>
      <c r="H22" s="114"/>
      <c r="I22" s="114"/>
      <c r="J22" s="114"/>
      <c r="K22" s="114"/>
      <c r="L22" s="114"/>
      <c r="M22" s="114"/>
      <c r="N22" s="114"/>
      <c r="O22" s="114"/>
    </row>
    <row r="23" spans="2:16" s="130" customFormat="1" ht="17.5" thickBot="1">
      <c r="B23" s="114"/>
      <c r="C23" s="151" t="s">
        <v>132</v>
      </c>
      <c r="D23" s="152"/>
      <c r="E23" s="152"/>
      <c r="F23" s="152"/>
      <c r="G23" s="114"/>
      <c r="H23" s="114"/>
      <c r="I23" s="114"/>
      <c r="J23" s="114"/>
      <c r="K23" s="114"/>
      <c r="L23" s="114"/>
      <c r="M23" s="114"/>
      <c r="N23" s="114"/>
      <c r="O23" s="114"/>
      <c r="P23" s="114"/>
    </row>
    <row r="24" spans="2:16" ht="17" customHeight="1" thickBot="1">
      <c r="B24" s="153" t="s">
        <v>134</v>
      </c>
      <c r="C24" s="105" t="s">
        <v>135</v>
      </c>
      <c r="D24" s="106" t="s">
        <v>60</v>
      </c>
      <c r="E24" s="106" t="s">
        <v>136</v>
      </c>
      <c r="F24" s="107" t="s">
        <v>51</v>
      </c>
      <c r="H24" s="485" t="s">
        <v>133</v>
      </c>
      <c r="I24" s="104"/>
      <c r="J24" s="104"/>
      <c r="K24" s="995" t="s">
        <v>458</v>
      </c>
      <c r="L24" s="996"/>
      <c r="M24" s="468"/>
    </row>
    <row r="25" spans="2:16" ht="33" customHeight="1">
      <c r="B25" s="1073" t="s">
        <v>139</v>
      </c>
      <c r="C25" s="108" t="s">
        <v>140</v>
      </c>
      <c r="D25" s="1076" t="s">
        <v>141</v>
      </c>
      <c r="E25" s="1078" t="s">
        <v>142</v>
      </c>
      <c r="F25" s="263" t="s">
        <v>147</v>
      </c>
      <c r="H25" s="486" t="s">
        <v>137</v>
      </c>
      <c r="I25" s="486" t="s">
        <v>359</v>
      </c>
      <c r="J25" s="487" t="s">
        <v>138</v>
      </c>
      <c r="K25" s="997"/>
      <c r="L25" s="998"/>
      <c r="M25" s="468"/>
      <c r="N25" s="154"/>
      <c r="O25" s="155"/>
    </row>
    <row r="26" spans="2:16" ht="33" customHeight="1">
      <c r="B26" s="1074"/>
      <c r="C26" s="109" t="s">
        <v>257</v>
      </c>
      <c r="D26" s="1077"/>
      <c r="E26" s="1079"/>
      <c r="F26" s="110" t="s">
        <v>145</v>
      </c>
      <c r="H26" s="999" t="s">
        <v>342</v>
      </c>
      <c r="I26" s="1001" t="s">
        <v>143</v>
      </c>
      <c r="J26" s="1004" t="s">
        <v>358</v>
      </c>
      <c r="K26" s="1048" t="s">
        <v>144</v>
      </c>
      <c r="L26" s="1049"/>
      <c r="M26" s="468"/>
      <c r="N26" s="156"/>
      <c r="O26" s="150"/>
    </row>
    <row r="27" spans="2:16" ht="44.25" customHeight="1">
      <c r="B27" s="1074"/>
      <c r="C27" s="111" t="s">
        <v>258</v>
      </c>
      <c r="D27" s="262" t="s">
        <v>146</v>
      </c>
      <c r="E27" s="1079"/>
      <c r="F27" s="1046" t="s">
        <v>147</v>
      </c>
      <c r="H27" s="1000"/>
      <c r="I27" s="1002"/>
      <c r="J27" s="1005"/>
      <c r="K27" s="1050"/>
      <c r="L27" s="1051"/>
      <c r="M27" s="468"/>
      <c r="N27" s="149"/>
      <c r="O27" s="1045"/>
    </row>
    <row r="28" spans="2:16" ht="45" customHeight="1">
      <c r="B28" s="1074"/>
      <c r="C28" s="111" t="s">
        <v>259</v>
      </c>
      <c r="D28" s="261">
        <v>0.5</v>
      </c>
      <c r="E28" s="112" t="s">
        <v>43</v>
      </c>
      <c r="F28" s="1046"/>
      <c r="H28" s="113" t="s">
        <v>148</v>
      </c>
      <c r="I28" s="1003"/>
      <c r="J28" s="1006"/>
      <c r="K28" s="1007" t="s">
        <v>149</v>
      </c>
      <c r="L28" s="1007"/>
      <c r="M28" s="468"/>
      <c r="N28" s="149"/>
      <c r="O28" s="1045"/>
    </row>
    <row r="29" spans="2:16" ht="34" customHeight="1">
      <c r="B29" s="1074"/>
      <c r="C29" s="111" t="s">
        <v>150</v>
      </c>
      <c r="D29" s="1066" t="s">
        <v>146</v>
      </c>
      <c r="E29" s="112" t="s">
        <v>40</v>
      </c>
      <c r="F29" s="1046"/>
      <c r="H29" s="1054" t="s">
        <v>542</v>
      </c>
      <c r="I29" s="1054"/>
      <c r="J29" s="1054"/>
      <c r="K29" s="1054"/>
      <c r="L29" s="1054"/>
      <c r="M29" s="468"/>
      <c r="N29" s="149"/>
      <c r="O29" s="1045"/>
    </row>
    <row r="30" spans="2:16" ht="34" customHeight="1">
      <c r="B30" s="1074"/>
      <c r="C30" s="111" t="s">
        <v>151</v>
      </c>
      <c r="D30" s="1066"/>
      <c r="E30" s="112" t="s">
        <v>41</v>
      </c>
      <c r="F30" s="1046"/>
      <c r="H30" s="1055"/>
      <c r="I30" s="1055"/>
      <c r="J30" s="1055"/>
      <c r="K30" s="1055"/>
      <c r="L30" s="1055"/>
      <c r="N30" s="149"/>
      <c r="O30" s="1045"/>
    </row>
    <row r="31" spans="2:16" ht="34" customHeight="1" thickBot="1">
      <c r="B31" s="1075"/>
      <c r="C31" s="115" t="s">
        <v>152</v>
      </c>
      <c r="D31" s="116">
        <v>0.4</v>
      </c>
      <c r="E31" s="117" t="s">
        <v>41</v>
      </c>
      <c r="F31" s="1047"/>
      <c r="N31" s="149"/>
      <c r="O31" s="1045"/>
    </row>
    <row r="32" spans="2:16" ht="34" customHeight="1">
      <c r="B32" s="1067" t="s">
        <v>153</v>
      </c>
      <c r="C32" s="118" t="s">
        <v>154</v>
      </c>
      <c r="D32" s="1069" t="s">
        <v>155</v>
      </c>
      <c r="E32" s="1071" t="s">
        <v>156</v>
      </c>
      <c r="F32" s="1052" t="s">
        <v>157</v>
      </c>
      <c r="N32" s="149"/>
      <c r="O32" s="1045"/>
    </row>
    <row r="33" spans="2:15" ht="34" customHeight="1" thickBot="1">
      <c r="B33" s="1068"/>
      <c r="C33" s="119" t="s">
        <v>158</v>
      </c>
      <c r="D33" s="1070"/>
      <c r="E33" s="1072"/>
      <c r="F33" s="1053"/>
      <c r="J33" s="171"/>
      <c r="K33" s="162"/>
      <c r="L33" s="98"/>
      <c r="M33" s="468"/>
      <c r="N33" s="149"/>
      <c r="O33" s="1045"/>
    </row>
    <row r="34" spans="2:15" ht="34" customHeight="1">
      <c r="B34" s="1056" t="s">
        <v>159</v>
      </c>
      <c r="C34" s="120" t="s">
        <v>160</v>
      </c>
      <c r="D34" s="121">
        <v>0.5</v>
      </c>
      <c r="E34" s="157" t="s">
        <v>43</v>
      </c>
      <c r="F34" s="122" t="s">
        <v>360</v>
      </c>
      <c r="J34" s="171"/>
      <c r="K34" s="162"/>
      <c r="L34" s="468"/>
      <c r="M34" s="468"/>
      <c r="N34" s="149"/>
      <c r="O34" s="1045"/>
    </row>
    <row r="35" spans="2:15" ht="32.15" customHeight="1" thickBot="1">
      <c r="B35" s="1057"/>
      <c r="C35" s="123" t="s">
        <v>161</v>
      </c>
      <c r="D35" s="124" t="s">
        <v>155</v>
      </c>
      <c r="E35" s="125" t="s">
        <v>156</v>
      </c>
      <c r="F35" s="126" t="s">
        <v>162</v>
      </c>
      <c r="J35" s="489"/>
      <c r="K35" s="162"/>
      <c r="L35" s="468"/>
      <c r="M35" s="468"/>
      <c r="N35" s="149"/>
      <c r="O35" s="1045"/>
    </row>
    <row r="36" spans="2:15" ht="32.15" customHeight="1">
      <c r="B36" s="1060" t="s">
        <v>163</v>
      </c>
      <c r="C36" s="127" t="s">
        <v>164</v>
      </c>
      <c r="D36" s="1062" t="s">
        <v>155</v>
      </c>
      <c r="E36" s="1064" t="s">
        <v>20</v>
      </c>
      <c r="F36" s="1058" t="s">
        <v>162</v>
      </c>
      <c r="J36" s="490"/>
      <c r="K36" s="488"/>
      <c r="L36" s="468"/>
      <c r="M36" s="468"/>
      <c r="N36" s="149"/>
      <c r="O36" s="1045"/>
    </row>
    <row r="37" spans="2:15" ht="34" customHeight="1" thickBot="1">
      <c r="B37" s="1061"/>
      <c r="C37" s="128" t="s">
        <v>165</v>
      </c>
      <c r="D37" s="1063"/>
      <c r="E37" s="1065"/>
      <c r="F37" s="1059"/>
      <c r="J37" s="490"/>
      <c r="K37" s="488"/>
      <c r="L37" s="468"/>
      <c r="M37" s="468"/>
      <c r="N37" s="149"/>
      <c r="O37" s="1045"/>
    </row>
    <row r="38" spans="2:15" ht="34" customHeight="1">
      <c r="C38" s="129" t="s">
        <v>166</v>
      </c>
      <c r="J38" s="488"/>
      <c r="K38" s="488"/>
      <c r="L38" s="468"/>
      <c r="M38" s="468"/>
      <c r="N38" s="149"/>
      <c r="O38" s="1045"/>
    </row>
    <row r="39" spans="2:15" ht="20.5" customHeight="1">
      <c r="J39" s="488"/>
      <c r="K39" s="488"/>
      <c r="L39" s="468"/>
      <c r="M39" s="468"/>
      <c r="N39" s="149"/>
      <c r="O39" s="1045"/>
    </row>
    <row r="40" spans="2:15" ht="20.5" customHeight="1">
      <c r="J40" s="488"/>
      <c r="K40" s="488"/>
      <c r="M40" s="468"/>
      <c r="N40" s="149"/>
      <c r="O40" s="150"/>
    </row>
    <row r="41" spans="2:15" ht="20.5" customHeight="1"/>
  </sheetData>
  <sheetProtection algorithmName="SHA-512" hashValue="ByOAfC1lhSXlIBB/DlESbkECGe/ZC1xgAYIiUZgrhoY2meQXKcUUV+O72vXHrrFnfflb50nnn6WLA4WqqHMINQ==" saltValue="NZJwQ7pWA8mM6WXyIRvjeg==" spinCount="100000" sheet="1" objects="1" scenarios="1"/>
  <mergeCells count="45">
    <mergeCell ref="L17:L19"/>
    <mergeCell ref="J18:K19"/>
    <mergeCell ref="J20:K20"/>
    <mergeCell ref="I7:I8"/>
    <mergeCell ref="C18:F19"/>
    <mergeCell ref="J17:K17"/>
    <mergeCell ref="H17:H19"/>
    <mergeCell ref="D29:D30"/>
    <mergeCell ref="B32:B33"/>
    <mergeCell ref="D32:D33"/>
    <mergeCell ref="E32:E33"/>
    <mergeCell ref="B25:B31"/>
    <mergeCell ref="D25:D26"/>
    <mergeCell ref="E25:E27"/>
    <mergeCell ref="B34:B35"/>
    <mergeCell ref="F36:F37"/>
    <mergeCell ref="B36:B37"/>
    <mergeCell ref="D36:D37"/>
    <mergeCell ref="E36:E37"/>
    <mergeCell ref="O27:O39"/>
    <mergeCell ref="F27:F31"/>
    <mergeCell ref="K26:L27"/>
    <mergeCell ref="F32:F33"/>
    <mergeCell ref="H29:L30"/>
    <mergeCell ref="D6:F6"/>
    <mergeCell ref="L7:L8"/>
    <mergeCell ref="L9:L10"/>
    <mergeCell ref="L11:L12"/>
    <mergeCell ref="C14:F16"/>
    <mergeCell ref="J16:K16"/>
    <mergeCell ref="C7:C9"/>
    <mergeCell ref="K7:K12"/>
    <mergeCell ref="I9:I10"/>
    <mergeCell ref="C10:C11"/>
    <mergeCell ref="D10:F11"/>
    <mergeCell ref="I11:I12"/>
    <mergeCell ref="D12:E12"/>
    <mergeCell ref="J7:J12"/>
    <mergeCell ref="D7:F9"/>
    <mergeCell ref="H7:H12"/>
    <mergeCell ref="K24:L25"/>
    <mergeCell ref="H26:H27"/>
    <mergeCell ref="I26:I28"/>
    <mergeCell ref="J26:J28"/>
    <mergeCell ref="K28:L28"/>
  </mergeCells>
  <phoneticPr fontId="1" type="noConversion"/>
  <conditionalFormatting sqref="J33:K33">
    <cfRule type="expression" dxfId="1" priority="1">
      <formula>$I$33&gt;$K$33</formula>
    </cfRule>
  </conditionalFormatting>
  <conditionalFormatting sqref="J34:K34">
    <cfRule type="expression" dxfId="0" priority="2">
      <formula>$I$33&gt;$K$34</formula>
    </cfRule>
  </conditionalFormatting>
  <hyperlinks>
    <hyperlink ref="C2" location="试算路径及方案简述!A1" display="返回" xr:uid="{00000000-0004-0000-1100-000000000000}"/>
  </hyperlinks>
  <pageMargins left="0.7" right="0.7" top="0.75" bottom="0.75" header="0.3" footer="0.3"/>
  <pageSetup orientation="portrait" horizontalDpi="300" verticalDpi="0" copies="0"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工作表</vt:lpstr>
      </vt:variant>
      <vt:variant>
        <vt:i4>24</vt:i4>
      </vt:variant>
      <vt:variant>
        <vt:lpstr>命名范围</vt:lpstr>
      </vt:variant>
      <vt:variant>
        <vt:i4>18</vt:i4>
      </vt:variant>
    </vt:vector>
  </HeadingPairs>
  <TitlesOfParts>
    <vt:vector size="42" baseType="lpstr">
      <vt:lpstr>试算路径及方案简述</vt:lpstr>
      <vt:lpstr>厂贴车型明细&amp;贷款金额说明</vt:lpstr>
      <vt:lpstr>厂贴_1+4阶梯贷</vt:lpstr>
      <vt:lpstr>厂贴_常规贴息（个人）世家</vt:lpstr>
      <vt:lpstr>厂贴_常规贴息（公户）世家</vt:lpstr>
      <vt:lpstr>厂贴_双优贷 世家</vt:lpstr>
      <vt:lpstr>厂贴_常规贴息（个人）</vt:lpstr>
      <vt:lpstr>厂贴_常规贴息(停用)</vt:lpstr>
      <vt:lpstr>厂贴_新公牌易贷5050</vt:lpstr>
      <vt:lpstr>厂贴_员工车</vt:lpstr>
      <vt:lpstr>参数-方案配置</vt:lpstr>
      <vt:lpstr>参数-车系车型 利率</vt:lpstr>
      <vt:lpstr>厂贴_常规贴息（公户）</vt:lpstr>
      <vt:lpstr>厂贴_双优贷2.0</vt:lpstr>
      <vt:lpstr>厂贴_双优贷1.0</vt:lpstr>
      <vt:lpstr>厂贴_5050 6666</vt:lpstr>
      <vt:lpstr>双优贷2.0_非厂贴</vt:lpstr>
      <vt:lpstr>双优贷1.0_非厂贴</vt:lpstr>
      <vt:lpstr>新通用_非贴息</vt:lpstr>
      <vt:lpstr>新通用_经销商贴息</vt:lpstr>
      <vt:lpstr>非贴息_员工车</vt:lpstr>
      <vt:lpstr>参数-非厂贴方案配置</vt:lpstr>
      <vt:lpstr>新能源首付低于20%时 最高贷款金额测算</vt:lpstr>
      <vt:lpstr>产品准入政策&amp;基础参数</vt:lpstr>
      <vt:lpstr>_25款世纪</vt:lpstr>
      <vt:lpstr>_5050车系</vt:lpstr>
      <vt:lpstr>GL8陆尊燃油版</vt:lpstr>
      <vt:lpstr>昂科威Plus</vt:lpstr>
      <vt:lpstr>昂科威S</vt:lpstr>
      <vt:lpstr>厂贴双优贷车系</vt:lpstr>
      <vt:lpstr>车系参数</vt:lpstr>
      <vt:lpstr>阶梯贷车系参数</vt:lpstr>
      <vt:lpstr>君越</vt:lpstr>
      <vt:lpstr>陆尊_ES</vt:lpstr>
      <vt:lpstr>陆尊_PHEV</vt:lpstr>
      <vt:lpstr>全新GL8_陆尊_新能源</vt:lpstr>
      <vt:lpstr>全新GL8陆上公务舱</vt:lpstr>
      <vt:lpstr>威朗Pro</vt:lpstr>
      <vt:lpstr>微蓝6_450KM</vt:lpstr>
      <vt:lpstr>新君威</vt:lpstr>
      <vt:lpstr>至境L7</vt:lpstr>
      <vt:lpstr>至境世家</vt:lpstr>
    </vt:vector>
  </TitlesOfParts>
  <Company>SaicGMAC</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ZE</dc:creator>
  <cp:lastModifiedBy>Zhang, Emily</cp:lastModifiedBy>
  <dcterms:created xsi:type="dcterms:W3CDTF">2024-11-13T21:30:06Z</dcterms:created>
  <dcterms:modified xsi:type="dcterms:W3CDTF">2026-04-01T09:09:28Z</dcterms:modified>
</cp:coreProperties>
</file>