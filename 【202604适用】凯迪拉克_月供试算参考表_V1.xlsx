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MZP5J5\Desktop\工作库\试算表相关\"/>
    </mc:Choice>
  </mc:AlternateContent>
  <xr:revisionPtr revIDLastSave="0" documentId="13_ncr:1_{C34B934A-491F-44F3-BCD7-61FAE0CD3F36}" xr6:coauthVersionLast="47" xr6:coauthVersionMax="47" xr10:uidLastSave="{00000000-0000-0000-0000-000000000000}"/>
  <workbookProtection workbookAlgorithmName="SHA-512" workbookHashValue="8/b6M1RRnaPdkipBXasTl8ZRjHpYun7LyMyLCedBEwaRWJ2a+MMOWxOrDty6vcxmk0bD/cMwvlvwc4Wh474mHg==" workbookSaltValue="FF59pWbCVehPgCNZWJ2e3w==" workbookSpinCount="100000" lockStructure="1"/>
  <bookViews>
    <workbookView xWindow="-110" yWindow="-110" windowWidth="19420" windowHeight="11500" tabRatio="707" activeTab="1" xr2:uid="{00000000-000D-0000-FFFF-FFFF00000000}"/>
  </bookViews>
  <sheets>
    <sheet name="试算路径及方案简述" sheetId="14" r:id="rId1"/>
    <sheet name="厂贴车型明细&amp;贷款金额说明" sheetId="5" r:id="rId2"/>
    <sheet name="系数参数" sheetId="1" state="hidden" r:id="rId3"/>
    <sheet name="厂贴_1+4阶梯贷" sheetId="13" state="hidden" r:id="rId4"/>
    <sheet name="厂贴_双优贷2.0" sheetId="4" r:id="rId5"/>
    <sheet name="厂贴_常规贴息（新CT6）" sheetId="19" r:id="rId6"/>
    <sheet name="厂贴_常规贴息（燃油车）" sheetId="2" r:id="rId7"/>
    <sheet name="厂贴_常规贴息（新能源）" sheetId="15" r:id="rId8"/>
    <sheet name="双优贷2.0_非厂贴" sheetId="17" r:id="rId9"/>
    <sheet name="双优贷1.0_非厂贴" sheetId="18" r:id="rId10"/>
    <sheet name="新通用_非贴息" sheetId="6" r:id="rId11"/>
    <sheet name="新通用_经销商贴息" sheetId="7" r:id="rId12"/>
    <sheet name="新能源首付低于20%时 最高贷款金额测算" sheetId="8" r:id="rId13"/>
    <sheet name="参数-非厂贴方案配置" sheetId="16" state="hidden" r:id="rId14"/>
    <sheet name="产品准入政策&amp;基础参数" sheetId="9" r:id="rId15"/>
  </sheets>
  <externalReferences>
    <externalReference r:id="rId16"/>
  </externalReferences>
  <definedNames>
    <definedName name="CT5_">系数参数!$M$2:$M$11</definedName>
    <definedName name="CT6_">系数参数!$N$2:$N$8</definedName>
    <definedName name="XT4_">系数参数!$P$2:$P$8</definedName>
    <definedName name="XT6_">系数参数!$Q$2:$Q$12</definedName>
    <definedName name="车系">系数参数!$L$2:$L$6</definedName>
    <definedName name="车系1">系数参数!$K$2:$K$7</definedName>
    <definedName name="车系参数" localSheetId="13">'[1]参数-车系车型 利率'!$P$2:$P$8</definedName>
    <definedName name="车系参数" localSheetId="9">'[1]参数-车系车型 利率'!$P$2:$P$8</definedName>
    <definedName name="车系参数" localSheetId="8">'[1]参数-车系车型 利率'!$P$2:$P$8</definedName>
    <definedName name="阶梯贷车系参数" localSheetId="13">'[1]参数-车系车型 利率'!$I$2:$I$6</definedName>
    <definedName name="阶梯贷车系参数" localSheetId="9">'[1]参数-车系车型 利率'!$I$2:$I$5</definedName>
    <definedName name="阶梯贷车系参数" localSheetId="8">'[1]参数-车系车型 利率'!$I$2:$I$5</definedName>
    <definedName name="全新XT5">系数参数!$O$2:$O$5</definedName>
    <definedName name="新CT6_">系数参数!$R$2:$R$4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6" i="2" l="1"/>
  <c r="E43" i="2"/>
  <c r="C32" i="2"/>
  <c r="E32" i="2" s="1"/>
  <c r="H32" i="2"/>
  <c r="H26" i="19"/>
  <c r="C26" i="19"/>
  <c r="D26" i="19" s="1"/>
  <c r="E26" i="19"/>
  <c r="H47" i="19"/>
  <c r="C47" i="19"/>
  <c r="E47" i="19" s="1"/>
  <c r="H46" i="19"/>
  <c r="C46" i="19"/>
  <c r="E46" i="19" s="1"/>
  <c r="C44" i="19"/>
  <c r="B44" i="19"/>
  <c r="C41" i="19"/>
  <c r="C37" i="19"/>
  <c r="H32" i="19"/>
  <c r="B30" i="19"/>
  <c r="H20" i="19"/>
  <c r="C20" i="19"/>
  <c r="E20" i="19" s="1"/>
  <c r="H19" i="19"/>
  <c r="C19" i="19"/>
  <c r="E19" i="19" s="1"/>
  <c r="H18" i="19"/>
  <c r="C18" i="19"/>
  <c r="E18" i="19" s="1"/>
  <c r="H17" i="19"/>
  <c r="C17" i="19"/>
  <c r="E17" i="19" s="1"/>
  <c r="H16" i="19"/>
  <c r="C16" i="19"/>
  <c r="M16" i="19" s="1"/>
  <c r="C14" i="19"/>
  <c r="B14" i="19"/>
  <c r="B8" i="19"/>
  <c r="C24" i="19"/>
  <c r="D24" i="19"/>
  <c r="B5" i="19"/>
  <c r="B5" i="15"/>
  <c r="B5" i="2"/>
  <c r="B5" i="4"/>
  <c r="B5" i="13"/>
  <c r="D32" i="2"/>
  <c r="F32" i="2"/>
  <c r="D20" i="19"/>
  <c r="G20" i="19" s="1"/>
  <c r="D19" i="19"/>
  <c r="E16" i="19"/>
  <c r="M18" i="19"/>
  <c r="D16" i="19"/>
  <c r="M17" i="19" s="1"/>
  <c r="D47" i="19"/>
  <c r="G47" i="19" s="1"/>
  <c r="C34" i="19"/>
  <c r="C32" i="19"/>
  <c r="E32" i="19" s="1"/>
  <c r="B37" i="19"/>
  <c r="C30" i="19"/>
  <c r="D30" i="19"/>
  <c r="C16" i="13"/>
  <c r="H26" i="2"/>
  <c r="C26" i="2"/>
  <c r="G32" i="2"/>
  <c r="H39" i="19"/>
  <c r="C39" i="19"/>
  <c r="G19" i="19"/>
  <c r="F19" i="19"/>
  <c r="F20" i="19"/>
  <c r="H16" i="4"/>
  <c r="H53" i="2"/>
  <c r="C53" i="2"/>
  <c r="H52" i="2"/>
  <c r="C52" i="2"/>
  <c r="D39" i="19"/>
  <c r="G39" i="19" s="1"/>
  <c r="C40" i="19"/>
  <c r="E39" i="19"/>
  <c r="H19" i="2"/>
  <c r="C19" i="2"/>
  <c r="H20" i="2"/>
  <c r="C20" i="2"/>
  <c r="D19" i="18"/>
  <c r="D13" i="18"/>
  <c r="C6" i="18"/>
  <c r="C8" i="18"/>
  <c r="C9" i="18"/>
  <c r="D19" i="17"/>
  <c r="D13" i="17"/>
  <c r="C6" i="17"/>
  <c r="C8" i="17"/>
  <c r="C9" i="17"/>
  <c r="D20" i="2"/>
  <c r="F20" i="2"/>
  <c r="E20" i="2"/>
  <c r="D19" i="2"/>
  <c r="G19" i="2" s="1"/>
  <c r="F19" i="2"/>
  <c r="E19" i="2"/>
  <c r="E19" i="18"/>
  <c r="F19" i="18"/>
  <c r="L21" i="18"/>
  <c r="L19" i="18" s="1"/>
  <c r="E13" i="18"/>
  <c r="F13" i="18"/>
  <c r="L15" i="18"/>
  <c r="L14" i="18" s="1"/>
  <c r="L13" i="18"/>
  <c r="E13" i="17"/>
  <c r="F13" i="17"/>
  <c r="L15" i="17"/>
  <c r="L14" i="17" s="1"/>
  <c r="F19" i="17"/>
  <c r="L21" i="17"/>
  <c r="L19" i="17" s="1"/>
  <c r="E19" i="17"/>
  <c r="G20" i="2"/>
  <c r="H13" i="18"/>
  <c r="G13" i="18"/>
  <c r="H19" i="18"/>
  <c r="G19" i="18"/>
  <c r="H19" i="17"/>
  <c r="G19" i="17"/>
  <c r="H13" i="17"/>
  <c r="G13" i="17"/>
  <c r="O34" i="6"/>
  <c r="O28" i="6"/>
  <c r="P25" i="6"/>
  <c r="P17" i="6"/>
  <c r="P27" i="7"/>
  <c r="P19" i="7"/>
  <c r="O4" i="7"/>
  <c r="O4" i="6"/>
  <c r="H20" i="15"/>
  <c r="C20" i="15"/>
  <c r="D20" i="15" s="1"/>
  <c r="E20" i="15"/>
  <c r="H19" i="15"/>
  <c r="H18" i="15"/>
  <c r="C18" i="15"/>
  <c r="E18" i="15" s="1"/>
  <c r="H17" i="15"/>
  <c r="C17" i="15" s="1"/>
  <c r="H16" i="15"/>
  <c r="C16" i="15"/>
  <c r="B8" i="15"/>
  <c r="B24" i="15"/>
  <c r="D26" i="15"/>
  <c r="C50" i="2"/>
  <c r="B50" i="2"/>
  <c r="C19" i="15"/>
  <c r="D19" i="15" s="1"/>
  <c r="E19" i="15"/>
  <c r="I26" i="15"/>
  <c r="C26" i="15"/>
  <c r="F26" i="15" s="1"/>
  <c r="E16" i="15"/>
  <c r="M18" i="15"/>
  <c r="M16" i="15"/>
  <c r="D16" i="15"/>
  <c r="C24" i="15"/>
  <c r="D24" i="15"/>
  <c r="C14" i="15"/>
  <c r="B14" i="15"/>
  <c r="M17" i="15"/>
  <c r="F16" i="15"/>
  <c r="G16" i="15"/>
  <c r="B14" i="13"/>
  <c r="C17" i="13"/>
  <c r="D17" i="13"/>
  <c r="G17" i="13"/>
  <c r="M18" i="13"/>
  <c r="C14" i="13"/>
  <c r="B8" i="13"/>
  <c r="E17" i="13"/>
  <c r="F17" i="13"/>
  <c r="M16" i="13"/>
  <c r="M17" i="13"/>
  <c r="C10" i="8"/>
  <c r="C11" i="8"/>
  <c r="C12" i="8"/>
  <c r="C9" i="8"/>
  <c r="E8" i="8"/>
  <c r="C8" i="8"/>
  <c r="E7" i="8"/>
  <c r="E6" i="8"/>
  <c r="J9" i="7"/>
  <c r="L9" i="7"/>
  <c r="C9" i="7"/>
  <c r="K27" i="7"/>
  <c r="J8" i="7"/>
  <c r="J7" i="7"/>
  <c r="L7" i="7"/>
  <c r="J6" i="7"/>
  <c r="L6" i="7"/>
  <c r="J5" i="7"/>
  <c r="L5" i="7"/>
  <c r="J4" i="7"/>
  <c r="G4" i="7"/>
  <c r="F4" i="7"/>
  <c r="U39" i="6"/>
  <c r="U37" i="6"/>
  <c r="U35" i="6"/>
  <c r="L34" i="6"/>
  <c r="V39" i="6"/>
  <c r="J39" i="6"/>
  <c r="G34" i="6"/>
  <c r="F34" i="6"/>
  <c r="L28" i="6"/>
  <c r="H28" i="6"/>
  <c r="U31" i="6"/>
  <c r="G28" i="6"/>
  <c r="G25" i="6"/>
  <c r="H25" i="6"/>
  <c r="L25" i="6"/>
  <c r="J21" i="6"/>
  <c r="G17" i="6"/>
  <c r="F17" i="6"/>
  <c r="J9" i="6"/>
  <c r="L9" i="6"/>
  <c r="C9" i="6"/>
  <c r="K19" i="6"/>
  <c r="J8" i="6"/>
  <c r="K8" i="6"/>
  <c r="J7" i="6"/>
  <c r="L7" i="6"/>
  <c r="J6" i="6"/>
  <c r="K6" i="6"/>
  <c r="J5" i="6"/>
  <c r="L5" i="6"/>
  <c r="J4" i="6"/>
  <c r="L4" i="6"/>
  <c r="AA7" i="6"/>
  <c r="AA5" i="6"/>
  <c r="V34" i="6"/>
  <c r="J34" i="6"/>
  <c r="G19" i="7"/>
  <c r="F19" i="7"/>
  <c r="V28" i="6"/>
  <c r="K21" i="7"/>
  <c r="G27" i="7"/>
  <c r="H27" i="7"/>
  <c r="L27" i="7"/>
  <c r="K5" i="7"/>
  <c r="K9" i="7"/>
  <c r="K4" i="6"/>
  <c r="N4" i="6"/>
  <c r="V37" i="6"/>
  <c r="J37" i="6"/>
  <c r="N8" i="6"/>
  <c r="M8" i="6"/>
  <c r="L8" i="6"/>
  <c r="V38" i="6"/>
  <c r="J38" i="6"/>
  <c r="V35" i="6"/>
  <c r="J35" i="6"/>
  <c r="K7" i="6"/>
  <c r="M21" i="6"/>
  <c r="L21" i="6"/>
  <c r="O21" i="6"/>
  <c r="J28" i="6"/>
  <c r="L8" i="7"/>
  <c r="K8" i="7"/>
  <c r="O25" i="6"/>
  <c r="J25" i="6"/>
  <c r="N6" i="6"/>
  <c r="M6" i="6"/>
  <c r="J19" i="6"/>
  <c r="J22" i="6"/>
  <c r="J20" i="6"/>
  <c r="L4" i="7"/>
  <c r="T7" i="7"/>
  <c r="T6" i="7" s="1"/>
  <c r="T5" i="7"/>
  <c r="K4" i="7"/>
  <c r="O27" i="7"/>
  <c r="J27" i="7"/>
  <c r="M27" i="7"/>
  <c r="V29" i="6"/>
  <c r="K7" i="7"/>
  <c r="J23" i="7"/>
  <c r="L6" i="6"/>
  <c r="K17" i="6"/>
  <c r="K25" i="6"/>
  <c r="G4" i="6"/>
  <c r="F4" i="6"/>
  <c r="K5" i="6"/>
  <c r="K9" i="6"/>
  <c r="V36" i="6"/>
  <c r="J36" i="6"/>
  <c r="K6" i="7"/>
  <c r="K19" i="7"/>
  <c r="J22" i="7"/>
  <c r="U29" i="6"/>
  <c r="V31" i="6"/>
  <c r="J31" i="6"/>
  <c r="J24" i="7"/>
  <c r="J21" i="7"/>
  <c r="N5" i="7"/>
  <c r="M5" i="7"/>
  <c r="N9" i="7"/>
  <c r="M9" i="7"/>
  <c r="M4" i="6"/>
  <c r="AA6" i="6"/>
  <c r="L22" i="7"/>
  <c r="O22" i="7"/>
  <c r="M22" i="7"/>
  <c r="J17" i="6"/>
  <c r="J18" i="6"/>
  <c r="M19" i="6"/>
  <c r="L19" i="6"/>
  <c r="O19" i="6"/>
  <c r="N8" i="7"/>
  <c r="M8" i="7"/>
  <c r="M23" i="7"/>
  <c r="L23" i="7"/>
  <c r="O23" i="7"/>
  <c r="N7" i="7"/>
  <c r="M7" i="7"/>
  <c r="N4" i="7"/>
  <c r="M4" i="7"/>
  <c r="J29" i="6"/>
  <c r="K34" i="6"/>
  <c r="M34" i="6"/>
  <c r="M22" i="6"/>
  <c r="L22" i="6"/>
  <c r="O22" i="6"/>
  <c r="J19" i="7"/>
  <c r="J20" i="7"/>
  <c r="V30" i="6"/>
  <c r="M6" i="7"/>
  <c r="N6" i="7"/>
  <c r="M9" i="6"/>
  <c r="N9" i="6"/>
  <c r="M5" i="6"/>
  <c r="N5" i="6"/>
  <c r="M20" i="6"/>
  <c r="L20" i="6"/>
  <c r="O20" i="6"/>
  <c r="M25" i="6"/>
  <c r="N7" i="6"/>
  <c r="M7" i="6"/>
  <c r="L21" i="7"/>
  <c r="O21" i="7"/>
  <c r="M21" i="7"/>
  <c r="M24" i="7"/>
  <c r="L24" i="7"/>
  <c r="O24" i="7"/>
  <c r="J30" i="6"/>
  <c r="K28" i="6"/>
  <c r="M28" i="6"/>
  <c r="L19" i="7"/>
  <c r="M19" i="7"/>
  <c r="T22" i="7"/>
  <c r="T20" i="7"/>
  <c r="L18" i="6"/>
  <c r="O18" i="6"/>
  <c r="M18" i="6"/>
  <c r="M20" i="7"/>
  <c r="L20" i="7"/>
  <c r="O20" i="7"/>
  <c r="M17" i="6"/>
  <c r="AA20" i="6"/>
  <c r="AA18" i="6"/>
  <c r="L17" i="6"/>
  <c r="O17" i="6"/>
  <c r="AA19" i="6"/>
  <c r="T21" i="7"/>
  <c r="O19" i="7"/>
  <c r="B8" i="4"/>
  <c r="C17" i="4"/>
  <c r="E16" i="4"/>
  <c r="M18" i="4" s="1"/>
  <c r="M16" i="4" s="1"/>
  <c r="C16" i="4"/>
  <c r="D16" i="4" s="1"/>
  <c r="C14" i="4"/>
  <c r="B14" i="4"/>
  <c r="E26" i="2"/>
  <c r="D26" i="2"/>
  <c r="G26" i="2" s="1"/>
  <c r="F26" i="2"/>
  <c r="B8" i="2"/>
  <c r="C30" i="2"/>
  <c r="D30" i="2"/>
  <c r="C43" i="2"/>
  <c r="B43" i="2" s="1"/>
  <c r="C47" i="2"/>
  <c r="B36" i="2"/>
  <c r="C24" i="2"/>
  <c r="D24" i="2"/>
  <c r="H38" i="2"/>
  <c r="C40" i="2"/>
  <c r="C36" i="2"/>
  <c r="D36" i="2"/>
  <c r="H16" i="2"/>
  <c r="C16" i="2"/>
  <c r="E16" i="2" s="1"/>
  <c r="M18" i="2" s="1"/>
  <c r="H17" i="2"/>
  <c r="C17" i="2"/>
  <c r="H18" i="2"/>
  <c r="C18" i="2"/>
  <c r="D18" i="2" s="1"/>
  <c r="C14" i="2"/>
  <c r="B14" i="2"/>
  <c r="C38" i="2"/>
  <c r="E38" i="2"/>
  <c r="D53" i="2"/>
  <c r="F53" i="2" s="1"/>
  <c r="E53" i="2"/>
  <c r="D16" i="2"/>
  <c r="G16" i="2" s="1"/>
  <c r="E18" i="2"/>
  <c r="D17" i="2"/>
  <c r="E17" i="2"/>
  <c r="D52" i="2"/>
  <c r="F52" i="2" s="1"/>
  <c r="E52" i="2"/>
  <c r="C39" i="2"/>
  <c r="D38" i="2"/>
  <c r="G38" i="2" s="1"/>
  <c r="G17" i="2"/>
  <c r="F17" i="2"/>
  <c r="F16" i="2"/>
  <c r="G26" i="19" l="1"/>
  <c r="F26" i="19"/>
  <c r="E17" i="15"/>
  <c r="D17" i="15"/>
  <c r="M16" i="2"/>
  <c r="M17" i="2"/>
  <c r="F16" i="4"/>
  <c r="G16" i="4"/>
  <c r="F18" i="2"/>
  <c r="G18" i="2"/>
  <c r="F19" i="15"/>
  <c r="G19" i="15"/>
  <c r="G20" i="15"/>
  <c r="F20" i="15"/>
  <c r="D18" i="19"/>
  <c r="C33" i="19"/>
  <c r="E26" i="15"/>
  <c r="F47" i="19"/>
  <c r="D32" i="19"/>
  <c r="G53" i="2"/>
  <c r="F16" i="19"/>
  <c r="G52" i="2"/>
  <c r="F39" i="19"/>
  <c r="G16" i="19"/>
  <c r="D46" i="19"/>
  <c r="D18" i="15"/>
  <c r="F38" i="2"/>
  <c r="D17" i="19"/>
  <c r="L20" i="18"/>
  <c r="L20" i="17"/>
  <c r="L13" i="17"/>
  <c r="M17" i="4"/>
  <c r="H45" i="2"/>
  <c r="C45" i="2" s="1"/>
  <c r="G32" i="19" l="1"/>
  <c r="F32" i="19"/>
  <c r="G17" i="19"/>
  <c r="F17" i="19"/>
  <c r="G17" i="15"/>
  <c r="F17" i="15"/>
  <c r="G26" i="15"/>
  <c r="H26" i="15"/>
  <c r="G18" i="19"/>
  <c r="F18" i="19"/>
  <c r="G18" i="15"/>
  <c r="F18" i="15"/>
  <c r="G46" i="19"/>
  <c r="F46" i="19"/>
  <c r="C46" i="2"/>
  <c r="E45" i="2"/>
  <c r="D45" i="2"/>
  <c r="F45" i="2" l="1"/>
  <c r="G45" i="2"/>
</calcChain>
</file>

<file path=xl/sharedStrings.xml><?xml version="1.0" encoding="utf-8"?>
<sst xmlns="http://schemas.openxmlformats.org/spreadsheetml/2006/main" count="1143" uniqueCount="477">
  <si>
    <t>12期</t>
    <phoneticPr fontId="3" type="noConversion"/>
  </si>
  <si>
    <t>24期</t>
    <phoneticPr fontId="3" type="noConversion"/>
  </si>
  <si>
    <t>36期</t>
    <phoneticPr fontId="3" type="noConversion"/>
  </si>
  <si>
    <t>20%以下首付比例</t>
    <phoneticPr fontId="3" type="noConversion"/>
  </si>
  <si>
    <t>48期</t>
  </si>
  <si>
    <t>60期</t>
  </si>
  <si>
    <t>方案类型</t>
    <phoneticPr fontId="3" type="noConversion"/>
  </si>
  <si>
    <t>期限</t>
    <phoneticPr fontId="3" type="noConversion"/>
  </si>
  <si>
    <t>客户利率</t>
    <phoneticPr fontId="3" type="noConversion"/>
  </si>
  <si>
    <t>厂贴系数</t>
    <phoneticPr fontId="3" type="noConversion"/>
  </si>
  <si>
    <t>双优贷</t>
    <phoneticPr fontId="3" type="noConversion"/>
  </si>
  <si>
    <t>60期</t>
    <phoneticPr fontId="3" type="noConversion"/>
  </si>
  <si>
    <t>12万定额</t>
    <phoneticPr fontId="3" type="noConversion"/>
  </si>
  <si>
    <t>厂贴金额</t>
    <phoneticPr fontId="3" type="noConversion"/>
  </si>
  <si>
    <t>首付20%起</t>
    <phoneticPr fontId="3" type="noConversion"/>
  </si>
  <si>
    <t>首付15%起</t>
    <phoneticPr fontId="3" type="noConversion"/>
  </si>
  <si>
    <t>傲歌</t>
    <phoneticPr fontId="3" type="noConversion"/>
  </si>
  <si>
    <t>车系</t>
    <phoneticPr fontId="5" type="noConversion"/>
  </si>
  <si>
    <t>附加品金额</t>
    <phoneticPr fontId="5" type="noConversion"/>
  </si>
  <si>
    <t>总价</t>
  </si>
  <si>
    <r>
      <t>贷款金额</t>
    </r>
    <r>
      <rPr>
        <b/>
        <sz val="11"/>
        <color rgb="FFFF0000"/>
        <rFont val="微软雅黑"/>
        <family val="2"/>
        <charset val="134"/>
      </rPr>
      <t>*</t>
    </r>
    <phoneticPr fontId="5" type="noConversion"/>
  </si>
  <si>
    <t>首付金额</t>
    <phoneticPr fontId="5" type="noConversion"/>
  </si>
  <si>
    <t>首付比例</t>
    <phoneticPr fontId="5" type="noConversion"/>
  </si>
  <si>
    <t>注：公牌/个体户类 首付30%起</t>
    <phoneticPr fontId="5" type="noConversion"/>
  </si>
  <si>
    <t>期限</t>
    <phoneticPr fontId="5" type="noConversion"/>
  </si>
  <si>
    <t>客户试算月供</t>
    <phoneticPr fontId="5" type="noConversion"/>
  </si>
  <si>
    <t>60期</t>
    <phoneticPr fontId="5" type="noConversion"/>
  </si>
  <si>
    <t>提前还款期数</t>
    <phoneticPr fontId="16" type="noConversion"/>
  </si>
  <si>
    <t>48期</t>
    <phoneticPr fontId="5" type="noConversion"/>
  </si>
  <si>
    <t>剩余本金</t>
    <phoneticPr fontId="16" type="noConversion"/>
  </si>
  <si>
    <t>36期</t>
    <phoneticPr fontId="5" type="noConversion"/>
  </si>
  <si>
    <t>可节省利息</t>
    <phoneticPr fontId="5" type="noConversion"/>
  </si>
  <si>
    <t>24期</t>
    <phoneticPr fontId="5" type="noConversion"/>
  </si>
  <si>
    <t>第一步：修改贷款参数</t>
    <phoneticPr fontId="5" type="noConversion"/>
  </si>
  <si>
    <t>第二步：查看试算结果</t>
    <phoneticPr fontId="5" type="noConversion"/>
  </si>
  <si>
    <t>合同利率</t>
    <phoneticPr fontId="3" type="noConversion"/>
  </si>
  <si>
    <t>贷款方案-1</t>
    <phoneticPr fontId="5" type="noConversion"/>
  </si>
  <si>
    <t>贷款方案-2</t>
    <phoneticPr fontId="5" type="noConversion"/>
  </si>
  <si>
    <t>12期</t>
    <phoneticPr fontId="5" type="noConversion"/>
  </si>
  <si>
    <t>客户试算
总利息</t>
    <phoneticPr fontId="5" type="noConversion"/>
  </si>
  <si>
    <r>
      <t>客户试算
年化</t>
    </r>
    <r>
      <rPr>
        <b/>
        <sz val="12"/>
        <color theme="1"/>
        <rFont val="微软雅黑"/>
        <family val="2"/>
        <charset val="134"/>
      </rPr>
      <t>利</t>
    </r>
    <r>
      <rPr>
        <sz val="12"/>
        <color theme="1"/>
        <rFont val="微软雅黑"/>
        <family val="2"/>
        <charset val="134"/>
      </rPr>
      <t>率</t>
    </r>
    <phoneticPr fontId="5" type="noConversion"/>
  </si>
  <si>
    <r>
      <t>客户试算
年化</t>
    </r>
    <r>
      <rPr>
        <b/>
        <sz val="12"/>
        <color theme="1"/>
        <rFont val="微软雅黑"/>
        <family val="2"/>
        <charset val="134"/>
      </rPr>
      <t>费</t>
    </r>
    <r>
      <rPr>
        <sz val="12"/>
        <color theme="1"/>
        <rFont val="微软雅黑"/>
        <family val="2"/>
        <charset val="134"/>
      </rPr>
      <t>率</t>
    </r>
    <phoneticPr fontId="5" type="noConversion"/>
  </si>
  <si>
    <t>厂商贴息
金额参考</t>
    <phoneticPr fontId="5" type="noConversion"/>
  </si>
  <si>
    <t>贷款金额
下限</t>
    <phoneticPr fontId="5" type="noConversion"/>
  </si>
  <si>
    <t>已还利息</t>
    <phoneticPr fontId="5" type="noConversion"/>
  </si>
  <si>
    <t>还满24期免提前还款手续费</t>
    <phoneticPr fontId="5" type="noConversion"/>
  </si>
  <si>
    <r>
      <t>贷款金额</t>
    </r>
    <r>
      <rPr>
        <b/>
        <sz val="12"/>
        <color rgb="FFFF0000"/>
        <rFont val="微软雅黑"/>
        <family val="2"/>
        <charset val="134"/>
      </rPr>
      <t>*</t>
    </r>
    <phoneticPr fontId="3" type="noConversion"/>
  </si>
  <si>
    <t>贷款方案-3</t>
    <phoneticPr fontId="5" type="noConversion"/>
  </si>
  <si>
    <t>1-12期</t>
    <phoneticPr fontId="5" type="noConversion"/>
  </si>
  <si>
    <t>13-60期</t>
    <phoneticPr fontId="5" type="noConversion"/>
  </si>
  <si>
    <r>
      <t>客户试算
总</t>
    </r>
    <r>
      <rPr>
        <b/>
        <sz val="12"/>
        <color theme="1"/>
        <rFont val="微软雅黑"/>
        <family val="2"/>
        <charset val="134"/>
      </rPr>
      <t>费</t>
    </r>
    <r>
      <rPr>
        <sz val="11"/>
        <color theme="1"/>
        <rFont val="微软雅黑"/>
        <family val="2"/>
        <charset val="134"/>
      </rPr>
      <t>率</t>
    </r>
    <phoneticPr fontId="5" type="noConversion"/>
  </si>
  <si>
    <t>还满12期免提前还款手续费</t>
    <phoneticPr fontId="5" type="noConversion"/>
  </si>
  <si>
    <t>注：通过小管家报单的申请，请先任选一个方案提交到E速通后，修改为“1+4阶梯贷”方案再正式发送申请</t>
    <phoneticPr fontId="5" type="noConversion"/>
  </si>
  <si>
    <t>低首付低利率
（等额本息类）</t>
    <phoneticPr fontId="3" type="noConversion"/>
  </si>
  <si>
    <t>0首付超低利率
（等额本息类）</t>
    <phoneticPr fontId="3" type="noConversion"/>
  </si>
  <si>
    <t>半付半贷
超低月供
（5050智慧式）</t>
    <phoneticPr fontId="3" type="noConversion"/>
  </si>
  <si>
    <t>贷款方案-4</t>
    <phoneticPr fontId="5" type="noConversion"/>
  </si>
  <si>
    <t>贷款方案-5</t>
    <phoneticPr fontId="5" type="noConversion"/>
  </si>
  <si>
    <t>定额 超低利率
（等额本息类）</t>
    <phoneticPr fontId="3" type="noConversion"/>
  </si>
  <si>
    <t>合同综合
年化利率</t>
    <phoneticPr fontId="5" type="noConversion"/>
  </si>
  <si>
    <t>留尾款享更低月供
(智慧式）</t>
    <phoneticPr fontId="3" type="noConversion"/>
  </si>
  <si>
    <r>
      <rPr>
        <b/>
        <sz val="12"/>
        <color theme="1"/>
        <rFont val="微软雅黑"/>
        <family val="2"/>
        <charset val="134"/>
      </rPr>
      <t>尾款</t>
    </r>
    <r>
      <rPr>
        <sz val="8"/>
        <color theme="1"/>
        <rFont val="微软雅黑"/>
        <family val="2"/>
        <charset val="134"/>
      </rPr>
      <t>(=总价*50%）</t>
    </r>
    <r>
      <rPr>
        <b/>
        <sz val="9"/>
        <color theme="1"/>
        <rFont val="微软雅黑"/>
        <family val="2"/>
        <charset val="134"/>
      </rPr>
      <t xml:space="preserve">
</t>
    </r>
    <r>
      <rPr>
        <sz val="8"/>
        <color theme="1"/>
        <rFont val="微软雅黑"/>
        <family val="2"/>
        <charset val="134"/>
      </rPr>
      <t>(与末期月供一起支付）</t>
    </r>
    <phoneticPr fontId="5" type="noConversion"/>
  </si>
  <si>
    <r>
      <t xml:space="preserve">客户试算
</t>
    </r>
    <r>
      <rPr>
        <b/>
        <sz val="12"/>
        <color theme="1"/>
        <rFont val="微软雅黑"/>
        <family val="2"/>
        <charset val="134"/>
      </rPr>
      <t>总</t>
    </r>
    <r>
      <rPr>
        <sz val="12"/>
        <color theme="1"/>
        <rFont val="微软雅黑"/>
        <family val="2"/>
        <charset val="134"/>
      </rPr>
      <t>利息</t>
    </r>
    <phoneticPr fontId="5" type="noConversion"/>
  </si>
  <si>
    <r>
      <t>附加品金额</t>
    </r>
    <r>
      <rPr>
        <b/>
        <sz val="11"/>
        <color rgb="FFFF0000"/>
        <rFont val="微软雅黑"/>
        <family val="2"/>
        <charset val="134"/>
      </rPr>
      <t xml:space="preserve">*
</t>
    </r>
    <r>
      <rPr>
        <sz val="11"/>
        <color rgb="FFFF0000"/>
        <rFont val="微软雅黑"/>
        <family val="2"/>
        <charset val="134"/>
      </rPr>
      <t>（仅限购置税&amp;保费）</t>
    </r>
    <phoneticPr fontId="5" type="noConversion"/>
  </si>
  <si>
    <r>
      <t>车辆开票价</t>
    </r>
    <r>
      <rPr>
        <sz val="11"/>
        <color theme="1"/>
        <rFont val="微软雅黑"/>
        <family val="2"/>
        <charset val="134"/>
      </rPr>
      <t>(TP)</t>
    </r>
    <r>
      <rPr>
        <b/>
        <sz val="11"/>
        <color rgb="FFFF0000"/>
        <rFont val="微软雅黑"/>
        <family val="2"/>
        <charset val="134"/>
      </rPr>
      <t>*</t>
    </r>
    <phoneticPr fontId="5" type="noConversion"/>
  </si>
  <si>
    <t>还满30期免提前还款手续费</t>
    <phoneticPr fontId="5" type="noConversion"/>
  </si>
  <si>
    <r>
      <t>贷款金额</t>
    </r>
    <r>
      <rPr>
        <b/>
        <sz val="12"/>
        <color rgb="FFFF0000"/>
        <rFont val="微软雅黑"/>
        <family val="2"/>
        <charset val="134"/>
      </rPr>
      <t xml:space="preserve">*
</t>
    </r>
    <r>
      <rPr>
        <sz val="8"/>
        <color theme="1"/>
        <rFont val="微软雅黑"/>
        <family val="2"/>
        <charset val="134"/>
      </rPr>
      <t>(=总价*50%）</t>
    </r>
    <phoneticPr fontId="3" type="noConversion"/>
  </si>
  <si>
    <t>双优贷2.0
（等额本息类）</t>
    <phoneticPr fontId="3" type="noConversion"/>
  </si>
  <si>
    <t>返回</t>
    <phoneticPr fontId="5" type="noConversion"/>
  </si>
  <si>
    <t>市场指导价</t>
    <phoneticPr fontId="5" type="noConversion"/>
  </si>
  <si>
    <t xml:space="preserve">XT4  1.5T Comfort 前驱 </t>
  </si>
  <si>
    <t>XT4  1.5T Lux 前驱</t>
  </si>
  <si>
    <t xml:space="preserve">XT4  2.0T Lux 前驱 </t>
  </si>
  <si>
    <t>XT4  2.0T Sport 四驱</t>
  </si>
  <si>
    <t>CT5  MY24 1.5T Fashion</t>
  </si>
  <si>
    <t>CT5  MY24 2.0T Fashion</t>
  </si>
  <si>
    <t>CT5  MY24 2.0T Elite</t>
  </si>
  <si>
    <t>CT5  MY24 2.0T Luxury (18 inch)</t>
  </si>
  <si>
    <t>CT5  MY24 2.0T Premium (19 inch)</t>
  </si>
  <si>
    <t>CT5  MY24 2.0T Prem Super Cruise 19inch Recorder</t>
  </si>
  <si>
    <t>新XT6 豪华行政经典版</t>
  </si>
  <si>
    <t>新XT6 尊贵行政黑标版</t>
  </si>
  <si>
    <t>新XT6 铂金行政黑标版</t>
  </si>
  <si>
    <t xml:space="preserve">XT6 前驱 Lux </t>
  </si>
  <si>
    <t>XT6 四驱 Lux</t>
  </si>
  <si>
    <t>XT6 四驱 Lux sport</t>
  </si>
  <si>
    <t>XT6 四驱 Plati sport</t>
  </si>
  <si>
    <t>XT6 四驱 Plati sport Super Cruise</t>
  </si>
  <si>
    <t>IQ 傲歌 标准续航版 纯电动 新能源</t>
  </si>
  <si>
    <t>全新CT5</t>
    <phoneticPr fontId="3" type="noConversion"/>
  </si>
  <si>
    <t>车系</t>
  </si>
  <si>
    <t>12期
贷款金额下限</t>
    <phoneticPr fontId="5" type="noConversion"/>
  </si>
  <si>
    <t>24期
贷款金额下限</t>
    <phoneticPr fontId="5" type="noConversion"/>
  </si>
  <si>
    <t>36期
贷款金额下限</t>
    <phoneticPr fontId="5" type="noConversion"/>
  </si>
  <si>
    <t>48期
贷款金额下限</t>
    <phoneticPr fontId="5" type="noConversion"/>
  </si>
  <si>
    <t>60期
贷款金额下限</t>
    <phoneticPr fontId="5" type="noConversion"/>
  </si>
  <si>
    <t>12期
贷款金额</t>
    <phoneticPr fontId="3" type="noConversion"/>
  </si>
  <si>
    <t>全新XT5</t>
    <phoneticPr fontId="3" type="noConversion"/>
  </si>
  <si>
    <t>全新XT6</t>
    <phoneticPr fontId="3" type="noConversion"/>
  </si>
  <si>
    <t>无方案</t>
    <phoneticPr fontId="3" type="noConversion"/>
  </si>
  <si>
    <t>还款方式-1</t>
    <phoneticPr fontId="5" type="noConversion"/>
  </si>
  <si>
    <r>
      <t>贷款金额</t>
    </r>
    <r>
      <rPr>
        <b/>
        <sz val="12"/>
        <color rgb="FFFF0000"/>
        <rFont val="微软雅黑"/>
        <family val="2"/>
        <charset val="134"/>
      </rPr>
      <t>*</t>
    </r>
    <phoneticPr fontId="5" type="noConversion"/>
  </si>
  <si>
    <t>客户试算总利息</t>
    <phoneticPr fontId="5" type="noConversion"/>
  </si>
  <si>
    <r>
      <t>客户试算年化</t>
    </r>
    <r>
      <rPr>
        <b/>
        <sz val="14"/>
        <color theme="1"/>
        <rFont val="微软雅黑"/>
        <family val="2"/>
        <charset val="134"/>
      </rPr>
      <t>利</t>
    </r>
    <r>
      <rPr>
        <sz val="11"/>
        <color theme="1"/>
        <rFont val="微软雅黑"/>
        <family val="2"/>
        <charset val="134"/>
      </rPr>
      <t>率</t>
    </r>
    <phoneticPr fontId="5" type="noConversion"/>
  </si>
  <si>
    <r>
      <t>客户试算年化</t>
    </r>
    <r>
      <rPr>
        <b/>
        <sz val="14"/>
        <color theme="1"/>
        <rFont val="微软雅黑"/>
        <family val="2"/>
        <charset val="134"/>
      </rPr>
      <t>费</t>
    </r>
    <r>
      <rPr>
        <sz val="11"/>
        <color theme="1"/>
        <rFont val="微软雅黑"/>
        <family val="2"/>
        <charset val="134"/>
      </rPr>
      <t>率</t>
    </r>
    <phoneticPr fontId="5" type="noConversion"/>
  </si>
  <si>
    <r>
      <t>客户试算总</t>
    </r>
    <r>
      <rPr>
        <b/>
        <sz val="14"/>
        <color theme="1"/>
        <rFont val="微软雅黑"/>
        <family val="2"/>
        <charset val="134"/>
      </rPr>
      <t>费</t>
    </r>
    <r>
      <rPr>
        <sz val="11"/>
        <color theme="1"/>
        <rFont val="微软雅黑"/>
        <family val="2"/>
        <charset val="134"/>
      </rPr>
      <t>率</t>
    </r>
    <phoneticPr fontId="5" type="noConversion"/>
  </si>
  <si>
    <t>系统操作产品选项</t>
    <phoneticPr fontId="5" type="noConversion"/>
  </si>
  <si>
    <t>60期提前还款测算参考：</t>
    <phoneticPr fontId="3" type="noConversion"/>
  </si>
  <si>
    <t>等额本息类</t>
    <phoneticPr fontId="5" type="noConversion"/>
  </si>
  <si>
    <t>附加品金额*</t>
    <phoneticPr fontId="5" type="noConversion"/>
  </si>
  <si>
    <t>可节省利息</t>
    <phoneticPr fontId="16" type="noConversion"/>
  </si>
  <si>
    <t>已还利息</t>
    <phoneticPr fontId="16" type="noConversion"/>
  </si>
  <si>
    <t>18期</t>
    <phoneticPr fontId="5" type="noConversion"/>
  </si>
  <si>
    <r>
      <t xml:space="preserve">总价
</t>
    </r>
    <r>
      <rPr>
        <sz val="10"/>
        <color indexed="8"/>
        <rFont val="微软雅黑"/>
        <family val="2"/>
        <charset val="134"/>
      </rPr>
      <t>注：总价不得超过车辆市场指导价*115%</t>
    </r>
    <phoneticPr fontId="5" type="noConversion"/>
  </si>
  <si>
    <t>经销商贴息
（不支持）</t>
    <phoneticPr fontId="5" type="noConversion"/>
  </si>
  <si>
    <t>还款方式-2</t>
    <phoneticPr fontId="5" type="noConversion"/>
  </si>
  <si>
    <r>
      <t>尾款</t>
    </r>
    <r>
      <rPr>
        <sz val="9"/>
        <color theme="1"/>
        <rFont val="微软雅黑"/>
        <family val="2"/>
        <charset val="134"/>
      </rPr>
      <t xml:space="preserve">
(与末期月供一起支付）</t>
    </r>
    <phoneticPr fontId="5" type="noConversion"/>
  </si>
  <si>
    <t>客户总利息</t>
    <phoneticPr fontId="5" type="noConversion"/>
  </si>
  <si>
    <t>60期智慧贷还满24期提前还款测算参考：</t>
    <phoneticPr fontId="3" type="noConversion"/>
  </si>
  <si>
    <t>智慧式</t>
    <phoneticPr fontId="5" type="noConversion"/>
  </si>
  <si>
    <t>从24期开始填写（同期结清）</t>
    <phoneticPr fontId="5" type="noConversion"/>
  </si>
  <si>
    <t>还款方式-3</t>
    <phoneticPr fontId="5" type="noConversion"/>
  </si>
  <si>
    <r>
      <t xml:space="preserve">贷款金额
</t>
    </r>
    <r>
      <rPr>
        <sz val="12"/>
        <color theme="1"/>
        <rFont val="微软雅黑"/>
        <family val="2"/>
        <charset val="134"/>
      </rPr>
      <t>(=总价*50%）</t>
    </r>
    <phoneticPr fontId="5" type="noConversion"/>
  </si>
  <si>
    <t>5050
智慧式</t>
    <phoneticPr fontId="5" type="noConversion"/>
  </si>
  <si>
    <t>还款方式-4</t>
    <phoneticPr fontId="5" type="noConversion"/>
  </si>
  <si>
    <r>
      <t xml:space="preserve">贷款金额
</t>
    </r>
    <r>
      <rPr>
        <sz val="12"/>
        <color theme="1"/>
        <rFont val="微软雅黑"/>
        <family val="2"/>
        <charset val="134"/>
      </rPr>
      <t>(=总价*60%）</t>
    </r>
    <phoneticPr fontId="5" type="noConversion"/>
  </si>
  <si>
    <t>本金</t>
    <phoneticPr fontId="5" type="noConversion"/>
  </si>
  <si>
    <t>月利息</t>
    <phoneticPr fontId="5" type="noConversion"/>
  </si>
  <si>
    <t>433
分段式</t>
    <phoneticPr fontId="5" type="noConversion"/>
  </si>
  <si>
    <t>1-11期</t>
    <phoneticPr fontId="5" type="noConversion"/>
  </si>
  <si>
    <t>13-23期</t>
    <phoneticPr fontId="5" type="noConversion"/>
  </si>
  <si>
    <t>还款方式-5</t>
    <phoneticPr fontId="5" type="noConversion"/>
  </si>
  <si>
    <t>首付</t>
    <phoneticPr fontId="5" type="noConversion"/>
  </si>
  <si>
    <t>X-433
分段式</t>
    <phoneticPr fontId="5" type="noConversion"/>
  </si>
  <si>
    <t>25-35期</t>
    <phoneticPr fontId="5" type="noConversion"/>
  </si>
  <si>
    <t>第一步：输入修改参数</t>
    <phoneticPr fontId="5" type="noConversion"/>
  </si>
  <si>
    <r>
      <t xml:space="preserve">总价
</t>
    </r>
    <r>
      <rPr>
        <sz val="11"/>
        <color indexed="8"/>
        <rFont val="微软雅黑"/>
        <family val="2"/>
        <charset val="134"/>
      </rPr>
      <t>注：总价不得超过车辆市场指导价*115%</t>
    </r>
    <phoneticPr fontId="5" type="noConversion"/>
  </si>
  <si>
    <r>
      <t>经销商贴息</t>
    </r>
    <r>
      <rPr>
        <sz val="11"/>
        <color rgb="FFFF0000"/>
        <rFont val="微软雅黑"/>
        <family val="2"/>
        <charset val="134"/>
      </rPr>
      <t>*</t>
    </r>
    <r>
      <rPr>
        <sz val="11"/>
        <rFont val="微软雅黑"/>
        <family val="2"/>
        <charset val="134"/>
      </rPr>
      <t xml:space="preserve">
</t>
    </r>
    <r>
      <rPr>
        <sz val="11"/>
        <color rgb="FFFF0000"/>
        <rFont val="微软雅黑"/>
        <family val="2"/>
        <charset val="134"/>
      </rPr>
      <t>（100元起）</t>
    </r>
    <phoneticPr fontId="5" type="noConversion"/>
  </si>
  <si>
    <t>*经销商贴息需填写在E速通系统的‘经销商补贴金额’处</t>
    <phoneticPr fontId="5" type="noConversion"/>
  </si>
  <si>
    <r>
      <t xml:space="preserve">新能源
首付低于20%
附加贷
最高贷款金额
</t>
    </r>
    <r>
      <rPr>
        <sz val="10"/>
        <rFont val="微软雅黑"/>
        <family val="2"/>
        <charset val="134"/>
      </rPr>
      <t>测算</t>
    </r>
    <phoneticPr fontId="5" type="noConversion"/>
  </si>
  <si>
    <r>
      <rPr>
        <b/>
        <sz val="10"/>
        <color theme="1"/>
        <rFont val="微软雅黑"/>
        <family val="2"/>
        <charset val="134"/>
      </rPr>
      <t>MSRP</t>
    </r>
    <r>
      <rPr>
        <sz val="10"/>
        <color theme="1"/>
        <rFont val="微软雅黑"/>
        <family val="2"/>
        <charset val="134"/>
      </rPr>
      <t xml:space="preserve">
（市场指导价）</t>
    </r>
    <phoneticPr fontId="5" type="noConversion"/>
  </si>
  <si>
    <r>
      <rPr>
        <b/>
        <sz val="10"/>
        <color theme="1"/>
        <rFont val="微软雅黑"/>
        <family val="2"/>
        <charset val="134"/>
      </rPr>
      <t>TP</t>
    </r>
    <r>
      <rPr>
        <sz val="10"/>
        <color theme="1"/>
        <rFont val="微软雅黑"/>
        <family val="2"/>
        <charset val="134"/>
      </rPr>
      <t xml:space="preserve">
（车辆开票价）</t>
    </r>
    <phoneticPr fontId="5" type="noConversion"/>
  </si>
  <si>
    <r>
      <t>加融</t>
    </r>
    <r>
      <rPr>
        <b/>
        <sz val="10"/>
        <color theme="1"/>
        <rFont val="微软雅黑"/>
        <family val="2"/>
        <charset val="134"/>
      </rPr>
      <t>车辆保险金额</t>
    </r>
    <phoneticPr fontId="5" type="noConversion"/>
  </si>
  <si>
    <r>
      <t>加融</t>
    </r>
    <r>
      <rPr>
        <b/>
        <sz val="10"/>
        <color theme="1"/>
        <rFont val="微软雅黑"/>
        <family val="2"/>
        <charset val="134"/>
      </rPr>
      <t>经销商附加品金额</t>
    </r>
    <phoneticPr fontId="5" type="noConversion"/>
  </si>
  <si>
    <t>不含“保值焕新”上限：</t>
    <phoneticPr fontId="5" type="noConversion"/>
  </si>
  <si>
    <t>含“保值焕新”上限：</t>
    <phoneticPr fontId="5" type="noConversion"/>
  </si>
  <si>
    <t>总价金额</t>
    <phoneticPr fontId="5" type="noConversion"/>
  </si>
  <si>
    <t>总价上限MSRP*115%：</t>
    <phoneticPr fontId="5" type="noConversion"/>
  </si>
  <si>
    <t>车辆最高贷款金额</t>
    <phoneticPr fontId="5" type="noConversion"/>
  </si>
  <si>
    <t>附加品最高贷款金额</t>
    <phoneticPr fontId="5" type="noConversion"/>
  </si>
  <si>
    <t>最高贷款金额</t>
    <phoneticPr fontId="5" type="noConversion"/>
  </si>
  <si>
    <t>* 本工具测算仅支持：新能源车个人自用且首付比例低于20%的附加贷</t>
    <phoneticPr fontId="5" type="noConversion"/>
  </si>
  <si>
    <t>准入政策参考：</t>
    <phoneticPr fontId="5" type="noConversion"/>
  </si>
  <si>
    <r>
      <rPr>
        <b/>
        <sz val="18"/>
        <color rgb="FFFFFF00"/>
        <rFont val="幼圆"/>
        <family val="3"/>
        <charset val="134"/>
      </rPr>
      <t>个人自用</t>
    </r>
    <r>
      <rPr>
        <b/>
        <sz val="11"/>
        <color rgb="FFFFFF00"/>
        <rFont val="微软雅黑"/>
        <family val="2"/>
        <charset val="134"/>
      </rPr>
      <t>（个人申请，上个人牌照）</t>
    </r>
    <r>
      <rPr>
        <b/>
        <sz val="11"/>
        <color theme="0"/>
        <rFont val="微软雅黑"/>
        <family val="2"/>
        <charset val="134"/>
      </rPr>
      <t>-准入政策汇总</t>
    </r>
    <phoneticPr fontId="5" type="noConversion"/>
  </si>
  <si>
    <t>产品类别</t>
    <phoneticPr fontId="5" type="noConversion"/>
  </si>
  <si>
    <t>客户准入政策</t>
    <phoneticPr fontId="5" type="noConversion"/>
  </si>
  <si>
    <t>累计贷款金额</t>
  </si>
  <si>
    <t>客户准入要求</t>
    <phoneticPr fontId="5" type="noConversion"/>
  </si>
  <si>
    <t>基本资料</t>
    <phoneticPr fontId="5" type="noConversion"/>
  </si>
  <si>
    <t>预审资料</t>
    <phoneticPr fontId="5" type="noConversion"/>
  </si>
  <si>
    <r>
      <rPr>
        <b/>
        <sz val="12"/>
        <color theme="1"/>
        <rFont val="微软雅黑"/>
        <family val="2"/>
        <charset val="134"/>
      </rPr>
      <t>新优速贷</t>
    </r>
    <r>
      <rPr>
        <b/>
        <sz val="10"/>
        <color theme="1"/>
        <rFont val="微软雅黑"/>
        <family val="2"/>
        <charset val="134"/>
      </rPr>
      <t>/智慧贷/5050
6666/X-433/433</t>
    </r>
    <phoneticPr fontId="3" type="noConversion"/>
  </si>
  <si>
    <r>
      <t xml:space="preserve">客户有近期不少于六个月的良好信用记录，
</t>
    </r>
    <r>
      <rPr>
        <b/>
        <sz val="10"/>
        <color rgb="FFFF0000"/>
        <rFont val="微软雅黑"/>
        <family val="2"/>
        <charset val="134"/>
      </rPr>
      <t>或</t>
    </r>
    <r>
      <rPr>
        <sz val="10"/>
        <color theme="1"/>
        <rFont val="微软雅黑"/>
        <family val="2"/>
        <charset val="134"/>
      </rPr>
      <t xml:space="preserve"> 满足我司对于“本地人”的信贷要求   
 （免房产）</t>
    </r>
    <phoneticPr fontId="5" type="noConversion"/>
  </si>
  <si>
    <t>&lt;=50万</t>
    <phoneticPr fontId="5" type="noConversion"/>
  </si>
  <si>
    <t xml:space="preserve"> - 合法经营半年以上
 - 持有有效证照，如《营业执照》
 - 添加法定代表人或持股大于等于25%的股东做担保</t>
    <phoneticPr fontId="5" type="noConversion"/>
  </si>
  <si>
    <t xml:space="preserve"> - 公司营业执照+公章
 - 法定代表人身份证（股东担保时，可接受法人签章代替法人签字）
 -  担保人身份证
 - 持股大于等于25%的股东身份证件（如股东为非自然人 ，提供营业执照）及受益所有人身份证件</t>
    <phoneticPr fontId="5" type="noConversion"/>
  </si>
  <si>
    <t xml:space="preserve"> / </t>
    <phoneticPr fontId="5" type="noConversion"/>
  </si>
  <si>
    <r>
      <t xml:space="preserve">50-75万
</t>
    </r>
    <r>
      <rPr>
        <sz val="10.5"/>
        <color theme="1"/>
        <rFont val="微软雅黑"/>
        <family val="2"/>
        <charset val="134"/>
      </rPr>
      <t xml:space="preserve">
（&gt;50万，且&lt;=75万）</t>
    </r>
    <phoneticPr fontId="5" type="noConversion"/>
  </si>
  <si>
    <t>银行流水、房产资料</t>
    <phoneticPr fontId="5" type="noConversion"/>
  </si>
  <si>
    <r>
      <t xml:space="preserve">标准产品
</t>
    </r>
    <r>
      <rPr>
        <sz val="10"/>
        <rFont val="微软雅黑"/>
        <family val="2"/>
        <charset val="134"/>
      </rPr>
      <t>（即等额本息）</t>
    </r>
    <phoneticPr fontId="5" type="noConversion"/>
  </si>
  <si>
    <t>自有房产，或提供有本地房产的亲朋做担保
（需提供收入及房产证明类材料）</t>
  </si>
  <si>
    <r>
      <t xml:space="preserve">75-170万
</t>
    </r>
    <r>
      <rPr>
        <sz val="10.5"/>
        <color theme="1"/>
        <rFont val="微软雅黑"/>
        <family val="2"/>
        <charset val="134"/>
      </rPr>
      <t>（&gt;75万，且&lt;=170万）</t>
    </r>
    <phoneticPr fontId="5" type="noConversion"/>
  </si>
  <si>
    <t>银行流水、房产资料、
财务报表、完税凭证、
公司章程或验资报告等</t>
    <phoneticPr fontId="5" type="noConversion"/>
  </si>
  <si>
    <r>
      <rPr>
        <b/>
        <sz val="18"/>
        <color rgb="FFFFFF00"/>
        <rFont val="幼圆"/>
        <family val="3"/>
        <charset val="134"/>
      </rPr>
      <t>个体户-自用</t>
    </r>
    <r>
      <rPr>
        <b/>
        <sz val="11"/>
        <color rgb="FFFFFF00"/>
        <rFont val="微软雅黑"/>
        <family val="2"/>
        <charset val="134"/>
      </rPr>
      <t>（个体户公司申请，上个体户公司牌照）</t>
    </r>
    <r>
      <rPr>
        <b/>
        <sz val="11"/>
        <color theme="0"/>
        <rFont val="微软雅黑"/>
        <family val="2"/>
        <charset val="134"/>
      </rPr>
      <t>-准入政策</t>
    </r>
    <phoneticPr fontId="5" type="noConversion"/>
  </si>
  <si>
    <t>注：公司申请支持企业名下招行/农行/工行的账号进行扣款授权，同时也可支持使用担保人名下（工农建招邮储）银行卡进行扣款授权（客户可根据自身需要二选其一）</t>
    <phoneticPr fontId="5" type="noConversion"/>
  </si>
  <si>
    <r>
      <t xml:space="preserve">“个体工商户注册地”、“担保人工作地”及“担保人居住地”在同一省份，
 需添加个体户经营者担保。（个体户经营者名下驾照，免房产） 
</t>
    </r>
    <r>
      <rPr>
        <sz val="10"/>
        <color rgb="FFFF0000"/>
        <rFont val="微软雅黑"/>
        <family val="2"/>
        <charset val="134"/>
      </rPr>
      <t>暂不支持以下省市申请：西藏；苏州、南京、常州、宁波、福州、厦门、莆田、石家庄、郑州、乌鲁木齐</t>
    </r>
    <r>
      <rPr>
        <sz val="10"/>
        <color theme="1"/>
        <rFont val="微软雅黑"/>
        <family val="2"/>
        <charset val="134"/>
      </rPr>
      <t>（具体以系统为准）</t>
    </r>
    <phoneticPr fontId="5" type="noConversion"/>
  </si>
  <si>
    <r>
      <rPr>
        <b/>
        <sz val="18"/>
        <color rgb="FFFFFF00"/>
        <rFont val="幼圆"/>
        <family val="3"/>
        <charset val="134"/>
      </rPr>
      <t>企业商用</t>
    </r>
    <r>
      <rPr>
        <b/>
        <sz val="11"/>
        <color rgb="FFFFFF00"/>
        <rFont val="微软雅黑"/>
        <family val="2"/>
        <charset val="134"/>
      </rPr>
      <t>（个人/公司申请，上公司牌照）</t>
    </r>
    <r>
      <rPr>
        <b/>
        <sz val="11"/>
        <color theme="0"/>
        <rFont val="微软雅黑"/>
        <family val="2"/>
        <charset val="134"/>
      </rPr>
      <t>-营运贷产品准入政策：</t>
    </r>
    <phoneticPr fontId="3" type="noConversion"/>
  </si>
  <si>
    <t>累计台数及贷款金额</t>
  </si>
  <si>
    <r>
      <rPr>
        <b/>
        <sz val="18"/>
        <color rgb="FFFFFF00"/>
        <rFont val="幼圆"/>
        <family val="3"/>
        <charset val="134"/>
      </rPr>
      <t>个体户升级-自用</t>
    </r>
    <r>
      <rPr>
        <b/>
        <sz val="11"/>
        <color rgb="FFFFFF00"/>
        <rFont val="微软雅黑"/>
        <family val="2"/>
        <charset val="134"/>
      </rPr>
      <t>（个体户经营者申请，上个体户公司牌照）</t>
    </r>
    <r>
      <rPr>
        <b/>
        <sz val="11"/>
        <color theme="0"/>
        <rFont val="微软雅黑"/>
        <family val="2"/>
        <charset val="134"/>
      </rPr>
      <t>-准入政策：</t>
    </r>
    <phoneticPr fontId="5" type="noConversion"/>
  </si>
  <si>
    <t>&lt;=5台，
且累计贷款金额&lt;=50万</t>
    <phoneticPr fontId="5" type="noConversion"/>
  </si>
  <si>
    <r>
      <t xml:space="preserve"> - 公司合法经营半年以上
- 持有有效《营业执照》， </t>
    </r>
    <r>
      <rPr>
        <sz val="10"/>
        <color rgb="FFFF0000"/>
        <rFont val="微软雅黑"/>
        <family val="2"/>
        <charset val="134"/>
      </rPr>
      <t>且经营范围需包含与购车用途相关的描述</t>
    </r>
    <r>
      <rPr>
        <sz val="10"/>
        <color rgb="FF000000"/>
        <rFont val="微软雅黑"/>
        <family val="2"/>
        <charset val="134"/>
      </rPr>
      <t>（如客运）
  - 添加法人或持股大于等于25%的股东做担保</t>
    </r>
    <phoneticPr fontId="5" type="noConversion"/>
  </si>
  <si>
    <r>
      <t xml:space="preserve"> - 公司营业执照+公章
 - 法定代表人身份证（股东担保时，可接受法人签章代替法人签字）
 -  担保人身份证、持股大于等于25%的股东身份证件（如股东为非自然人 ，提供营业执照）及受益所有人身份证件
注：</t>
    </r>
    <r>
      <rPr>
        <b/>
        <sz val="10"/>
        <rFont val="微软雅黑"/>
        <family val="2"/>
        <charset val="134"/>
      </rPr>
      <t>“客运公司”还需提供道路运输经营许可证</t>
    </r>
    <phoneticPr fontId="5" type="noConversion"/>
  </si>
  <si>
    <t>/</t>
  </si>
  <si>
    <t>&gt;5台，
且累计贷款金额&lt;=50万</t>
    <phoneticPr fontId="5" type="noConversion"/>
  </si>
  <si>
    <r>
      <t xml:space="preserve"> - 公司合法经营</t>
    </r>
    <r>
      <rPr>
        <b/>
        <sz val="12"/>
        <color rgb="FFFF0000"/>
        <rFont val="微软雅黑"/>
        <family val="2"/>
        <charset val="134"/>
      </rPr>
      <t>1年</t>
    </r>
    <r>
      <rPr>
        <sz val="10"/>
        <color rgb="FF000000"/>
        <rFont val="微软雅黑"/>
        <family val="2"/>
        <charset val="134"/>
      </rPr>
      <t>以上
 - 持有有效《营业执照》， 且经营范围需包含与购车用途相关的描述（如客运）
 - 添加法人或持股大于等于25%的股东做担保</t>
    </r>
    <phoneticPr fontId="5" type="noConversion"/>
  </si>
  <si>
    <t>累计贷款金额&gt;50万
（但不超过170万）</t>
    <phoneticPr fontId="5" type="noConversion"/>
  </si>
  <si>
    <r>
      <t xml:space="preserve"> - 公司合法经营</t>
    </r>
    <r>
      <rPr>
        <b/>
        <sz val="12"/>
        <color rgb="FFFF0000"/>
        <rFont val="微软雅黑"/>
        <family val="2"/>
        <charset val="134"/>
      </rPr>
      <t>1年</t>
    </r>
    <r>
      <rPr>
        <sz val="10"/>
        <color rgb="FF000000"/>
        <rFont val="微软雅黑"/>
        <family val="2"/>
        <charset val="134"/>
      </rPr>
      <t>以上
 - 持有有效《营业执照》， 且经营范围需包含与购车用途相关的描述（如租赁）
 - 添加法人或持股大于等于25%的股东做担保</t>
    </r>
    <phoneticPr fontId="5" type="noConversion"/>
  </si>
  <si>
    <t>产品基础参数参考：</t>
    <phoneticPr fontId="5" type="noConversion"/>
  </si>
  <si>
    <t>附加品贷款要求：</t>
    <phoneticPr fontId="3" type="noConversion"/>
  </si>
  <si>
    <t>用途</t>
    <phoneticPr fontId="5" type="noConversion"/>
  </si>
  <si>
    <t>贷款期限</t>
    <phoneticPr fontId="5" type="noConversion"/>
  </si>
  <si>
    <t>贷款金额</t>
    <phoneticPr fontId="5" type="noConversion"/>
  </si>
  <si>
    <t>贷款类型</t>
  </si>
  <si>
    <t>总价（车价+附加品）金额上限</t>
    <phoneticPr fontId="5" type="noConversion"/>
  </si>
  <si>
    <t>附加品项目</t>
    <phoneticPr fontId="3" type="noConversion"/>
  </si>
  <si>
    <t>个人
自用</t>
    <phoneticPr fontId="5" type="noConversion"/>
  </si>
  <si>
    <r>
      <rPr>
        <b/>
        <sz val="16"/>
        <color theme="1"/>
        <rFont val="微软雅黑"/>
        <family val="2"/>
        <charset val="134"/>
      </rPr>
      <t>新优速贷</t>
    </r>
    <r>
      <rPr>
        <sz val="11"/>
        <color theme="1"/>
        <rFont val="微软雅黑"/>
        <family val="2"/>
        <charset val="134"/>
      </rPr>
      <t/>
    </r>
    <phoneticPr fontId="5" type="noConversion"/>
  </si>
  <si>
    <t>20%起
（新能源新车15%起）</t>
    <phoneticPr fontId="5" type="noConversion"/>
  </si>
  <si>
    <t xml:space="preserve">12-60期 </t>
    <phoneticPr fontId="5" type="noConversion"/>
  </si>
  <si>
    <t>2.5-50万</t>
    <phoneticPr fontId="5" type="noConversion"/>
  </si>
  <si>
    <t>厂贴</t>
    <phoneticPr fontId="5" type="noConversion"/>
  </si>
  <si>
    <t>不超过
车辆市场指导价的115%</t>
    <phoneticPr fontId="5" type="noConversion"/>
  </si>
  <si>
    <r>
      <t xml:space="preserve"> - </t>
    </r>
    <r>
      <rPr>
        <b/>
        <sz val="10"/>
        <color rgb="FF000000"/>
        <rFont val="微软雅黑"/>
        <family val="2"/>
        <charset val="134"/>
      </rPr>
      <t>购置税</t>
    </r>
    <r>
      <rPr>
        <sz val="10"/>
        <color rgb="FF000000"/>
        <rFont val="微软雅黑"/>
        <family val="2"/>
        <charset val="134"/>
      </rPr>
      <t xml:space="preserve">、
 - </t>
    </r>
    <r>
      <rPr>
        <b/>
        <sz val="10"/>
        <color rgb="FF000000"/>
        <rFont val="微软雅黑"/>
        <family val="2"/>
        <charset val="134"/>
      </rPr>
      <t>车辆保险</t>
    </r>
    <r>
      <rPr>
        <sz val="10"/>
        <color rgb="FF000000"/>
        <rFont val="微软雅黑"/>
        <family val="2"/>
        <charset val="134"/>
      </rPr>
      <t xml:space="preserve">、
 - </t>
    </r>
    <r>
      <rPr>
        <b/>
        <sz val="10"/>
        <color rgb="FF000000"/>
        <rFont val="微软雅黑"/>
        <family val="2"/>
        <charset val="134"/>
      </rPr>
      <t>经销商附加品和服务</t>
    </r>
    <r>
      <rPr>
        <sz val="10"/>
        <color rgb="FF000000"/>
        <rFont val="微软雅黑"/>
        <family val="2"/>
        <charset val="134"/>
      </rPr>
      <t>（保值焕新服务、车辆内外精品装饰、等）</t>
    </r>
    <phoneticPr fontId="3" type="noConversion"/>
  </si>
  <si>
    <t xml:space="preserve">     - 包含“标准附加品”的经销商附加品和服务的合计金额上限为“车辆发票价的18%”或“3.5万”两者孰低；
     - 不包含“标准附加品”的经销商附加品和服务的合计金额上限为“车辆发票价的15%”或“3万”两者孰低。</t>
    <phoneticPr fontId="3" type="noConversion"/>
  </si>
  <si>
    <t>标准产品（即等额本息）</t>
    <phoneticPr fontId="5" type="noConversion"/>
  </si>
  <si>
    <t>2.5万起</t>
    <phoneticPr fontId="5" type="noConversion"/>
  </si>
  <si>
    <r>
      <t xml:space="preserve">智慧贷
</t>
    </r>
    <r>
      <rPr>
        <sz val="9"/>
        <color theme="1"/>
        <rFont val="微软雅黑"/>
        <family val="2"/>
        <charset val="134"/>
      </rPr>
      <t>（12-36期尾款：</t>
    </r>
    <r>
      <rPr>
        <sz val="9"/>
        <color rgb="FFFF0000"/>
        <rFont val="微软雅黑"/>
        <family val="2"/>
        <charset val="134"/>
      </rPr>
      <t>总价</t>
    </r>
    <r>
      <rPr>
        <sz val="9"/>
        <color theme="1"/>
        <rFont val="微软雅黑"/>
        <family val="2"/>
        <charset val="134"/>
      </rPr>
      <t>*30%，48/60期尾款：</t>
    </r>
    <r>
      <rPr>
        <sz val="9"/>
        <color rgb="FFFF0000"/>
        <rFont val="微软雅黑"/>
        <family val="2"/>
        <charset val="134"/>
      </rPr>
      <t>总价</t>
    </r>
    <r>
      <rPr>
        <sz val="9"/>
        <color theme="1"/>
        <rFont val="微软雅黑"/>
        <family val="2"/>
        <charset val="134"/>
      </rPr>
      <t>*20%）</t>
    </r>
    <phoneticPr fontId="5" type="noConversion"/>
  </si>
  <si>
    <t>20%起</t>
    <phoneticPr fontId="5" type="noConversion"/>
  </si>
  <si>
    <t>非厂贴
（新通用）</t>
    <phoneticPr fontId="5" type="noConversion"/>
  </si>
  <si>
    <t>车辆开票价的10%或者3万孰低</t>
    <phoneticPr fontId="5" type="noConversion"/>
  </si>
  <si>
    <r>
      <t xml:space="preserve">5050
</t>
    </r>
    <r>
      <rPr>
        <sz val="9"/>
        <color theme="1"/>
        <rFont val="微软雅黑"/>
        <family val="2"/>
        <charset val="134"/>
      </rPr>
      <t>（尾款：</t>
    </r>
    <r>
      <rPr>
        <sz val="9"/>
        <color rgb="FFFF0000"/>
        <rFont val="微软雅黑"/>
        <family val="2"/>
        <charset val="134"/>
      </rPr>
      <t>总价</t>
    </r>
    <r>
      <rPr>
        <sz val="9"/>
        <color theme="1"/>
        <rFont val="微软雅黑"/>
        <family val="2"/>
        <charset val="134"/>
      </rPr>
      <t>*50%）</t>
    </r>
    <phoneticPr fontId="5" type="noConversion"/>
  </si>
  <si>
    <r>
      <t xml:space="preserve">X-433分段式
</t>
    </r>
    <r>
      <rPr>
        <sz val="9"/>
        <color theme="1"/>
        <rFont val="微软雅黑"/>
        <family val="2"/>
        <charset val="134"/>
      </rPr>
      <t>（每月偿还利息，每12个月偿还利息时再分别偿还</t>
    </r>
    <r>
      <rPr>
        <sz val="9"/>
        <color rgb="FFFF0000"/>
        <rFont val="微软雅黑"/>
        <family val="2"/>
        <charset val="134"/>
      </rPr>
      <t>贷款本金</t>
    </r>
    <r>
      <rPr>
        <sz val="9"/>
        <color theme="1"/>
        <rFont val="微软雅黑"/>
        <family val="2"/>
        <charset val="134"/>
      </rPr>
      <t>的40%、30%、30%）</t>
    </r>
    <phoneticPr fontId="5" type="noConversion"/>
  </si>
  <si>
    <r>
      <t xml:space="preserve">6666分段式
</t>
    </r>
    <r>
      <rPr>
        <sz val="9"/>
        <color theme="1"/>
        <rFont val="微软雅黑"/>
        <family val="2"/>
        <charset val="134"/>
      </rPr>
      <t>（每月偿还利息，每6个月偿还利息时再偿还</t>
    </r>
    <r>
      <rPr>
        <sz val="9"/>
        <color rgb="FFFF0000"/>
        <rFont val="微软雅黑"/>
        <family val="2"/>
        <charset val="134"/>
      </rPr>
      <t>贷款本金</t>
    </r>
    <r>
      <rPr>
        <sz val="9"/>
        <color theme="1"/>
        <rFont val="微软雅黑"/>
        <family val="2"/>
        <charset val="134"/>
      </rPr>
      <t>的25%）</t>
    </r>
    <phoneticPr fontId="5" type="noConversion"/>
  </si>
  <si>
    <r>
      <t xml:space="preserve">433分段式
</t>
    </r>
    <r>
      <rPr>
        <sz val="9"/>
        <color theme="1"/>
        <rFont val="微软雅黑"/>
        <family val="2"/>
        <charset val="134"/>
      </rPr>
      <t>（每月偿还利息，每12个月偿还利息时再偿还</t>
    </r>
    <r>
      <rPr>
        <sz val="9"/>
        <color rgb="FFFF0000"/>
        <rFont val="微软雅黑"/>
        <family val="2"/>
        <charset val="134"/>
      </rPr>
      <t>总价</t>
    </r>
    <r>
      <rPr>
        <sz val="9"/>
        <color theme="1"/>
        <rFont val="微软雅黑"/>
        <family val="2"/>
        <charset val="134"/>
      </rPr>
      <t>的30%）</t>
    </r>
    <phoneticPr fontId="5" type="noConversion"/>
  </si>
  <si>
    <t>个体户
自用</t>
    <phoneticPr fontId="5" type="noConversion"/>
  </si>
  <si>
    <r>
      <rPr>
        <b/>
        <sz val="11"/>
        <color theme="1"/>
        <rFont val="微软雅黑"/>
        <family val="2"/>
        <charset val="134"/>
      </rPr>
      <t>个体工商户</t>
    </r>
    <r>
      <rPr>
        <sz val="11"/>
        <color theme="1"/>
        <rFont val="微软雅黑"/>
        <family val="2"/>
        <charset val="134"/>
      </rPr>
      <t xml:space="preserve">
</t>
    </r>
    <r>
      <rPr>
        <sz val="9"/>
        <color theme="1"/>
        <rFont val="微软雅黑"/>
        <family val="2"/>
        <charset val="134"/>
      </rPr>
      <t>（适用城市范围详见“准入政策”页）</t>
    </r>
    <phoneticPr fontId="5" type="noConversion"/>
  </si>
  <si>
    <t>30%起
（新能源新车25%起）</t>
    <phoneticPr fontId="5" type="noConversion"/>
  </si>
  <si>
    <t>12-60期</t>
    <phoneticPr fontId="5" type="noConversion"/>
  </si>
  <si>
    <r>
      <t>2.5-</t>
    </r>
    <r>
      <rPr>
        <b/>
        <sz val="14"/>
        <color rgb="FFFF0000"/>
        <rFont val="微软雅黑"/>
        <family val="2"/>
        <charset val="134"/>
      </rPr>
      <t>30万</t>
    </r>
    <phoneticPr fontId="5" type="noConversion"/>
  </si>
  <si>
    <r>
      <t xml:space="preserve">个体工商户升级
</t>
    </r>
    <r>
      <rPr>
        <sz val="9"/>
        <color theme="1"/>
        <rFont val="微软雅黑"/>
        <family val="2"/>
        <charset val="134"/>
      </rPr>
      <t>（适用城市范围详见“准入政策”页）</t>
    </r>
    <phoneticPr fontId="5" type="noConversion"/>
  </si>
  <si>
    <t>企业
自用</t>
    <phoneticPr fontId="5" type="noConversion"/>
  </si>
  <si>
    <t>新公牌易贷5050</t>
    <phoneticPr fontId="5" type="noConversion"/>
  </si>
  <si>
    <r>
      <t>额度上限：</t>
    </r>
    <r>
      <rPr>
        <b/>
        <sz val="12"/>
        <color rgb="FFFF0000"/>
        <rFont val="微软雅黑"/>
        <family val="2"/>
        <charset val="134"/>
      </rPr>
      <t>1台，且不超50万</t>
    </r>
    <phoneticPr fontId="5" type="noConversion"/>
  </si>
  <si>
    <t>新公牌易贷</t>
    <phoneticPr fontId="5" type="noConversion"/>
  </si>
  <si>
    <t>2.5万起
（多台申请累计贷款额度上限170万）</t>
    <phoneticPr fontId="5" type="noConversion"/>
  </si>
  <si>
    <t>企业
商用</t>
    <phoneticPr fontId="5" type="noConversion"/>
  </si>
  <si>
    <t>营运_租赁</t>
    <phoneticPr fontId="5" type="noConversion"/>
  </si>
  <si>
    <t>12-36期</t>
    <phoneticPr fontId="5" type="noConversion"/>
  </si>
  <si>
    <t>营运_客运公司</t>
    <phoneticPr fontId="3" type="noConversion"/>
  </si>
  <si>
    <t>注：促销产品如对期限/首付/贷款金额等有特殊要求，请以促销产品说明为准。</t>
    <phoneticPr fontId="5" type="noConversion"/>
  </si>
  <si>
    <t>提前还款测算参考：</t>
    <phoneticPr fontId="3" type="noConversion"/>
  </si>
  <si>
    <t>注：1）本试算工具仅供试算参考，因精度问题客户月供及利息与实际情况可能存在差异，请以《汽车（抵押）贷款合同》所附的《还款计划表》为准；
       2）在提交申请和签约时，请注意比对申请系统与试算表的方案名称，以免因选错方案导致最终还款金额与试算金额出现较大差异。</t>
    <phoneticPr fontId="5" type="noConversion"/>
  </si>
  <si>
    <t>厂贴方案说明</t>
    <phoneticPr fontId="5" type="noConversion"/>
  </si>
  <si>
    <t>非厂贴方案</t>
    <phoneticPr fontId="5" type="noConversion"/>
  </si>
  <si>
    <t>厂贴方案
有效期</t>
    <phoneticPr fontId="5" type="noConversion"/>
  </si>
  <si>
    <t>厂贴车型</t>
    <phoneticPr fontId="5" type="noConversion"/>
  </si>
  <si>
    <t>厂贴方案简述</t>
    <phoneticPr fontId="5" type="noConversion"/>
  </si>
  <si>
    <t>试算页链接</t>
    <phoneticPr fontId="5" type="noConversion"/>
  </si>
  <si>
    <t>方案有效期</t>
    <phoneticPr fontId="5" type="noConversion"/>
  </si>
  <si>
    <t>适用车系</t>
    <phoneticPr fontId="5" type="noConversion"/>
  </si>
  <si>
    <t>非厂贴试算页链接</t>
    <phoneticPr fontId="5" type="noConversion"/>
  </si>
  <si>
    <t>说明</t>
    <phoneticPr fontId="5" type="noConversion"/>
  </si>
  <si>
    <t>合同
年化利率</t>
    <phoneticPr fontId="5" type="noConversion"/>
  </si>
  <si>
    <t>新通用-非厂商贴息</t>
    <phoneticPr fontId="5" type="noConversion"/>
  </si>
  <si>
    <t>不支持经销商贴息</t>
    <phoneticPr fontId="5" type="noConversion"/>
  </si>
  <si>
    <t>新通用-经销商贴息</t>
    <phoneticPr fontId="5" type="noConversion"/>
  </si>
  <si>
    <t>经销商贴息100元起</t>
    <phoneticPr fontId="5" type="noConversion"/>
  </si>
  <si>
    <t>厂贴_双优贷2.0</t>
    <phoneticPr fontId="5" type="noConversion"/>
  </si>
  <si>
    <t>参考链接</t>
    <phoneticPr fontId="5" type="noConversion"/>
  </si>
  <si>
    <t>厂贴车型明细&amp;贷款金额说明</t>
    <phoneticPr fontId="5" type="noConversion"/>
  </si>
  <si>
    <t>产品基础参数&amp;准入政策</t>
    <phoneticPr fontId="5" type="noConversion"/>
  </si>
  <si>
    <t>新能源首付低于20%时 最高贷款金额测算</t>
    <phoneticPr fontId="5" type="noConversion"/>
  </si>
  <si>
    <r>
      <t>说明：
1、表格中</t>
    </r>
    <r>
      <rPr>
        <b/>
        <sz val="12"/>
        <color theme="8" tint="-0.499984740745262"/>
        <rFont val="微软雅黑"/>
        <family val="2"/>
        <charset val="134"/>
      </rPr>
      <t>蓝底</t>
    </r>
    <r>
      <rPr>
        <b/>
        <sz val="12"/>
        <color theme="0"/>
        <rFont val="微软雅黑"/>
        <family val="2"/>
        <charset val="134"/>
      </rPr>
      <t>白字</t>
    </r>
    <r>
      <rPr>
        <sz val="12"/>
        <color theme="1"/>
        <rFont val="微软雅黑"/>
        <family val="2"/>
        <charset val="134"/>
      </rPr>
      <t>的单元格，为可修改项。可直接输入或从下拉菜单中进行选择。
2、系统录入选择贷款方案时，注意选择带有“方案名称关键字”的方案名称
3、1+4阶梯贷方案</t>
    </r>
    <r>
      <rPr>
        <b/>
        <sz val="12"/>
        <color theme="1"/>
        <rFont val="微软雅黑"/>
        <family val="2"/>
        <charset val="134"/>
      </rPr>
      <t>不支持附加品贷</t>
    </r>
    <phoneticPr fontId="5" type="noConversion"/>
  </si>
  <si>
    <t>贷款方案</t>
    <phoneticPr fontId="5" type="noConversion"/>
  </si>
  <si>
    <r>
      <t>贷款金额</t>
    </r>
    <r>
      <rPr>
        <b/>
        <sz val="12"/>
        <color rgb="FFFF0000"/>
        <rFont val="微软雅黑"/>
        <family val="2"/>
        <charset val="134"/>
      </rPr>
      <t xml:space="preserve">*
</t>
    </r>
    <r>
      <rPr>
        <sz val="8"/>
        <color theme="1"/>
        <rFont val="微软雅黑"/>
        <family val="2"/>
        <charset val="134"/>
      </rPr>
      <t>(=总价*80%或70%）</t>
    </r>
    <phoneticPr fontId="3" type="noConversion"/>
  </si>
  <si>
    <r>
      <t>说明：
1、表格中</t>
    </r>
    <r>
      <rPr>
        <b/>
        <sz val="12"/>
        <color theme="8" tint="-0.499984740745262"/>
        <rFont val="微软雅黑"/>
        <family val="2"/>
        <charset val="134"/>
      </rPr>
      <t>蓝底</t>
    </r>
    <r>
      <rPr>
        <b/>
        <sz val="12"/>
        <color theme="0"/>
        <rFont val="微软雅黑"/>
        <family val="2"/>
        <charset val="134"/>
      </rPr>
      <t>白字</t>
    </r>
    <r>
      <rPr>
        <sz val="12"/>
        <color theme="1"/>
        <rFont val="微软雅黑"/>
        <family val="2"/>
        <charset val="134"/>
      </rPr>
      <t>的单元格，为可修改项。可直接输入或从下拉菜单中进行选择。
2、系统录入选择贷款方案时，注意选择带有“方案名称关键字”的方案名称
3、"0首付”方案</t>
    </r>
    <r>
      <rPr>
        <b/>
        <sz val="12"/>
        <color theme="1"/>
        <rFont val="微软雅黑"/>
        <family val="2"/>
        <charset val="134"/>
      </rPr>
      <t>不支持附加品贷</t>
    </r>
    <phoneticPr fontId="5" type="noConversion"/>
  </si>
  <si>
    <t>具体车型详见
‘厂贴车型明细’</t>
    <phoneticPr fontId="5" type="noConversion"/>
  </si>
  <si>
    <t>四驱长续航版 纯电动 新能源
/ 标准续航版 纯电动 新能源</t>
    <phoneticPr fontId="3" type="noConversion"/>
  </si>
  <si>
    <t>XT4</t>
    <phoneticPr fontId="5" type="noConversion"/>
  </si>
  <si>
    <t>XT4 MCM</t>
  </si>
  <si>
    <t>1.5T Comfort FWD (w/o Sunroof)</t>
  </si>
  <si>
    <t>1.5T Lux FWD</t>
  </si>
  <si>
    <t>2.0T Lux FWD (w/o AKG)</t>
  </si>
  <si>
    <t>28T 两驱豪华型</t>
    <phoneticPr fontId="5" type="noConversion"/>
  </si>
  <si>
    <t>XT4 豪华型 2025年款</t>
  </si>
  <si>
    <t>28T 两驱尊贵型</t>
    <phoneticPr fontId="5" type="noConversion"/>
  </si>
  <si>
    <t>XT4 尊贵型 2025年款</t>
  </si>
  <si>
    <t>2.0T Sport AWD</t>
  </si>
  <si>
    <t>CT6</t>
  </si>
  <si>
    <t>NG CT6</t>
    <phoneticPr fontId="5" type="noConversion"/>
  </si>
  <si>
    <t>28T 风尚型</t>
    <phoneticPr fontId="5" type="noConversion"/>
  </si>
  <si>
    <t>全新CT6 28T 风尚型</t>
  </si>
  <si>
    <t>28T 豪华型</t>
    <phoneticPr fontId="5" type="noConversion"/>
  </si>
  <si>
    <t>全新CT6 28T 豪华型</t>
  </si>
  <si>
    <t>28T 豪华型 SC</t>
    <phoneticPr fontId="5" type="noConversion"/>
  </si>
  <si>
    <t>全新CT6 28T 豪华型(SC版)</t>
  </si>
  <si>
    <t>28T 尊贵型</t>
    <phoneticPr fontId="5" type="noConversion"/>
  </si>
  <si>
    <t>全新CT6 28T 尊贵型</t>
  </si>
  <si>
    <t>28T 尊贵型 SC</t>
    <phoneticPr fontId="5" type="noConversion"/>
  </si>
  <si>
    <t>全新CT6 28T 尊贵型Super Cruise版</t>
  </si>
  <si>
    <t>28T 铂金型</t>
    <phoneticPr fontId="5" type="noConversion"/>
  </si>
  <si>
    <t>全新CT6 28T 铂金型</t>
  </si>
  <si>
    <t>28T 铂金型 SC</t>
    <phoneticPr fontId="5" type="noConversion"/>
  </si>
  <si>
    <t>全新CT6 28T 铂金型Super Cruise版</t>
  </si>
  <si>
    <t>老款CT5</t>
    <phoneticPr fontId="5" type="noConversion"/>
  </si>
  <si>
    <t>CT5 MCM MY24</t>
    <phoneticPr fontId="5" type="noConversion"/>
  </si>
  <si>
    <t>1.5T Fashion</t>
  </si>
  <si>
    <t>2.0T Fashion</t>
  </si>
  <si>
    <t>2.0T Elite</t>
  </si>
  <si>
    <t>2.0T Luxury (18 inch)</t>
  </si>
  <si>
    <t>2.0T Premium (19 inch)</t>
  </si>
  <si>
    <t>2.0T Prem+Super Cruise 19”&amp;Recorder</t>
  </si>
  <si>
    <t>新款CT5</t>
  </si>
  <si>
    <t>CT5 MCM MY25</t>
    <phoneticPr fontId="5" type="noConversion"/>
  </si>
  <si>
    <t>28T 城市风尚版</t>
    <phoneticPr fontId="5" type="noConversion"/>
  </si>
  <si>
    <t>全新CT5 城市风尚版</t>
  </si>
  <si>
    <t>28T 城市运动版</t>
    <phoneticPr fontId="5" type="noConversion"/>
  </si>
  <si>
    <t>全新CT5 城市运动版</t>
  </si>
  <si>
    <t>28T 赛道性能版</t>
    <phoneticPr fontId="5" type="noConversion"/>
  </si>
  <si>
    <t>全新CT5 赛道性能版</t>
  </si>
  <si>
    <t>28T 赛道性能版+巅峰赛道选装包</t>
    <phoneticPr fontId="5" type="noConversion"/>
  </si>
  <si>
    <t>全新CT5 赛道性能版 巅峰赛道选装包</t>
  </si>
  <si>
    <t>新款XT5</t>
    <phoneticPr fontId="5" type="noConversion"/>
  </si>
  <si>
    <t>全新XT5</t>
    <phoneticPr fontId="5" type="noConversion"/>
  </si>
  <si>
    <t>新款XT6</t>
    <phoneticPr fontId="5" type="noConversion"/>
  </si>
  <si>
    <t>XT6</t>
    <phoneticPr fontId="5" type="noConversion"/>
  </si>
  <si>
    <t>28T 豪华行政经典版</t>
    <phoneticPr fontId="5" type="noConversion"/>
  </si>
  <si>
    <t>28T 尊贵行政黑标版</t>
    <phoneticPr fontId="5" type="noConversion"/>
  </si>
  <si>
    <t>28T 铂金行政黑标版</t>
    <phoneticPr fontId="5" type="noConversion"/>
  </si>
  <si>
    <t>老款XT6</t>
    <phoneticPr fontId="5" type="noConversion"/>
  </si>
  <si>
    <t>FWD Lux (6/7 Seats)</t>
  </si>
  <si>
    <t>FWD Lux (6/7 Seats) (LED)</t>
  </si>
  <si>
    <t>AWD Lux (6 Seats) (w/ ABG)</t>
  </si>
  <si>
    <t>AWD Lux sport</t>
  </si>
  <si>
    <t>AWD Plati sport</t>
  </si>
  <si>
    <t>AWD Plati sport (SC)</t>
  </si>
  <si>
    <t>傲歌</t>
    <phoneticPr fontId="5" type="noConversion"/>
  </si>
  <si>
    <t>OPTIQ</t>
    <phoneticPr fontId="5" type="noConversion"/>
  </si>
  <si>
    <t>四驱长续航版</t>
    <phoneticPr fontId="5" type="noConversion"/>
  </si>
  <si>
    <t>IQ 傲歌 四驱长续航版 纯电动 新能源</t>
  </si>
  <si>
    <t>标准续航版</t>
    <phoneticPr fontId="5" type="noConversion"/>
  </si>
  <si>
    <t>厂家车系</t>
    <phoneticPr fontId="5" type="noConversion"/>
  </si>
  <si>
    <t>厂家车型配置</t>
    <phoneticPr fontId="5" type="noConversion"/>
  </si>
  <si>
    <t>E速通系统车型名称</t>
    <phoneticPr fontId="5" type="noConversion"/>
  </si>
  <si>
    <t>首年0息
（定额1+4阶梯贷）</t>
    <phoneticPr fontId="3" type="noConversion"/>
  </si>
  <si>
    <r>
      <t>说明：
1、表格中</t>
    </r>
    <r>
      <rPr>
        <b/>
        <sz val="12"/>
        <color theme="8" tint="-0.499984740745262"/>
        <rFont val="微软雅黑"/>
        <family val="2"/>
        <charset val="134"/>
      </rPr>
      <t>蓝底</t>
    </r>
    <r>
      <rPr>
        <b/>
        <sz val="12"/>
        <color theme="0"/>
        <rFont val="微软雅黑"/>
        <family val="2"/>
        <charset val="134"/>
      </rPr>
      <t>白字</t>
    </r>
    <r>
      <rPr>
        <sz val="12"/>
        <color theme="1"/>
        <rFont val="微软雅黑"/>
        <family val="2"/>
        <charset val="134"/>
      </rPr>
      <t>的单元格，为可修改项。可直接输入或从下拉菜单中进行选择。
2、当“贷款金额下限”或“贷款金额上限数值项变为 红字且黄色高亮时，需调整第7行“贷款金额”输入的数值
3、系统录入选择贷款方案时，注意选择带有“方案名称关键字”的方案名称
4、双优贷方案仅可附加</t>
    </r>
    <r>
      <rPr>
        <b/>
        <sz val="12"/>
        <color theme="1"/>
        <rFont val="微软雅黑"/>
        <family val="2"/>
        <charset val="134"/>
      </rPr>
      <t>购置税及保险费</t>
    </r>
    <phoneticPr fontId="5" type="noConversion"/>
  </si>
  <si>
    <t>注：总价不得超过车辆市场指导价*115%</t>
    <phoneticPr fontId="5" type="noConversion"/>
  </si>
  <si>
    <t>厂贴_常规贴息（新能源）</t>
    <phoneticPr fontId="5" type="noConversion"/>
  </si>
  <si>
    <t>智慧式36期</t>
    <phoneticPr fontId="3" type="noConversion"/>
  </si>
  <si>
    <r>
      <t>(固定)贷款金额</t>
    </r>
    <r>
      <rPr>
        <b/>
        <sz val="11"/>
        <color rgb="FFFF0000"/>
        <rFont val="微软雅黑"/>
        <family val="2"/>
        <charset val="134"/>
      </rPr>
      <t>*</t>
    </r>
    <phoneticPr fontId="5" type="noConversion"/>
  </si>
  <si>
    <t>(固定)首付比例</t>
    <phoneticPr fontId="5" type="noConversion"/>
  </si>
  <si>
    <t>CT6</t>
    <phoneticPr fontId="3" type="noConversion"/>
  </si>
  <si>
    <t>XT4</t>
    <phoneticPr fontId="3" type="noConversion"/>
  </si>
  <si>
    <t>CT5</t>
    <phoneticPr fontId="3" type="noConversion"/>
  </si>
  <si>
    <t>XT6</t>
    <phoneticPr fontId="3" type="noConversion"/>
  </si>
  <si>
    <t>厂贴_常规贴息(燃油车）</t>
    <phoneticPr fontId="5" type="noConversion"/>
  </si>
  <si>
    <r>
      <rPr>
        <b/>
        <sz val="18"/>
        <color rgb="FFFFFF00"/>
        <rFont val="幼圆"/>
        <family val="3"/>
        <charset val="134"/>
      </rPr>
      <t>企业自用</t>
    </r>
    <r>
      <rPr>
        <b/>
        <sz val="11"/>
        <color rgb="FFFFFF00"/>
        <rFont val="微软雅黑"/>
        <family val="2"/>
        <charset val="134"/>
      </rPr>
      <t>（公司申请，上公司牌照）</t>
    </r>
    <r>
      <rPr>
        <b/>
        <sz val="11"/>
        <color theme="0"/>
        <rFont val="等线"/>
        <family val="3"/>
        <charset val="134"/>
      </rPr>
      <t>-</t>
    </r>
    <r>
      <rPr>
        <b/>
        <sz val="11"/>
        <color theme="0"/>
        <rFont val="微软雅黑"/>
        <family val="2"/>
        <charset val="134"/>
      </rPr>
      <t>新公牌易贷/新公牌易贷5050 产品准入政策同新公牌易贷50万以内方案</t>
    </r>
    <phoneticPr fontId="3" type="noConversion"/>
  </si>
  <si>
    <t>新公牌易贷
（企业申请、上公牌）</t>
    <phoneticPr fontId="5" type="noConversion"/>
  </si>
  <si>
    <t>营运_客运
（客运公司申请、上公牌）</t>
    <phoneticPr fontId="5" type="noConversion"/>
  </si>
  <si>
    <t>营运_租赁
（租赁公司申请、上公牌）</t>
    <phoneticPr fontId="5" type="noConversion"/>
  </si>
  <si>
    <t>银行流水、房产资料、
财务报表、完税凭证、
公司章程或验资报告；
租赁合同、协议或意向书；
以及AM尽职调查报告</t>
    <phoneticPr fontId="5" type="noConversion"/>
  </si>
  <si>
    <t xml:space="preserve"> - 公司营业执照+公章
 - 法定代表人身份证（股东担保时，可接受法人签章代替法人签字）
 -  担保人身份证、持股大于等于25%的股东身份证件（如股东为非自然人 ，提供营业执照）及受益所有人身份证件</t>
    <phoneticPr fontId="5" type="noConversion"/>
  </si>
  <si>
    <t>不区分台次或贷款金额
（但累计贷款金额需在170万以内）</t>
    <phoneticPr fontId="3" type="noConversion"/>
  </si>
  <si>
    <t>注：公牌/个体户类 首付25%起</t>
    <phoneticPr fontId="5" type="noConversion"/>
  </si>
  <si>
    <t>新通用</t>
    <phoneticPr fontId="5" type="noConversion"/>
  </si>
  <si>
    <t>非厂商贴息</t>
    <phoneticPr fontId="5" type="noConversion"/>
  </si>
  <si>
    <t>经销商贴息</t>
    <phoneticPr fontId="5" type="noConversion"/>
  </si>
  <si>
    <t>利率</t>
    <phoneticPr fontId="5" type="noConversion"/>
  </si>
  <si>
    <t>X433</t>
    <phoneticPr fontId="5" type="noConversion"/>
  </si>
  <si>
    <t>无方案</t>
    <phoneticPr fontId="5" type="noConversion"/>
  </si>
  <si>
    <t>双优贷</t>
    <phoneticPr fontId="5" type="noConversion"/>
  </si>
  <si>
    <t>新双优贷_SGM非贴息_新优速贷_60期利率9.7%_全国</t>
  </si>
  <si>
    <t>新双优贷_SGM经销商贴息_新优速贷_60期利率9.7%_全国</t>
  </si>
  <si>
    <t>马卡龙</t>
    <phoneticPr fontId="5" type="noConversion"/>
  </si>
  <si>
    <t>A</t>
    <phoneticPr fontId="5" type="noConversion"/>
  </si>
  <si>
    <t>B</t>
    <phoneticPr fontId="5" type="noConversion"/>
  </si>
  <si>
    <t>个人申请：8.98马卡龙A 新优速贷/标准产品/个体工商户升级 自主贴息_60期</t>
    <phoneticPr fontId="5" type="noConversion"/>
  </si>
  <si>
    <t>个人申请：9.98马卡龙B 新优速贷/标准产品/个体工商户升级 自主贴息_60期</t>
    <phoneticPr fontId="5" type="noConversion"/>
  </si>
  <si>
    <t>个人申请：9.48马卡龙A 新优速贷/标准产品/个体工商户升级 自主贴息_36期</t>
    <phoneticPr fontId="5" type="noConversion"/>
  </si>
  <si>
    <t>个人申请：10.48马卡龙B 新优速贷/标准产品/个体工商户升级 自主贴息_36期</t>
    <phoneticPr fontId="5" type="noConversion"/>
  </si>
  <si>
    <t>个人申请：2025_别克 自主贴息 马卡龙A 个人常规智慧贷 60期低息 20%尾款</t>
    <phoneticPr fontId="5" type="noConversion"/>
  </si>
  <si>
    <t>个人申请：2025_别克 自主贴息 马卡龙B 个人常规智慧贷 60期低息 20%尾款</t>
    <phoneticPr fontId="5" type="noConversion"/>
  </si>
  <si>
    <t>个人申请：2025_别克 自主贴息 马卡龙A 个人常规智慧贷 36期低息 30%尾款</t>
    <phoneticPr fontId="5" type="noConversion"/>
  </si>
  <si>
    <t>个人申请：2025_别克 自主贴息 马卡龙B 个人常规智慧贷 36期低息 30%尾款</t>
    <phoneticPr fontId="5" type="noConversion"/>
  </si>
  <si>
    <r>
      <t>注意：
1、请注意</t>
    </r>
    <r>
      <rPr>
        <b/>
        <sz val="10"/>
        <color theme="1"/>
        <rFont val="微软雅黑"/>
        <family val="2"/>
        <charset val="134"/>
      </rPr>
      <t>E速通系统所选车型与DOSS系统上报车型配置、年款、指导价保持一致</t>
    </r>
    <r>
      <rPr>
        <sz val="10"/>
        <color theme="1"/>
        <rFont val="微软雅黑"/>
        <family val="2"/>
        <charset val="134"/>
      </rPr>
      <t>，尤其要注意区分新旧款车型（如贴息政策不一致），</t>
    </r>
    <r>
      <rPr>
        <sz val="10"/>
        <color rgb="FFFF0000"/>
        <rFont val="微软雅黑"/>
        <family val="2"/>
        <charset val="134"/>
      </rPr>
      <t>若因车型配置不一致导致超出厂商贴息上限的情况，需由经销商承担</t>
    </r>
    <r>
      <rPr>
        <sz val="10"/>
        <color theme="1"/>
        <rFont val="微软雅黑"/>
        <family val="2"/>
        <charset val="134"/>
      </rPr>
      <t>，将从其他客户放款金额中扣除，后续会开具经销商贴息发票；（贴息车型配置请参考“车型明细”）
2、对于凯迪拉克厂商端下线的经销商，以及</t>
    </r>
    <r>
      <rPr>
        <b/>
        <sz val="10"/>
        <color theme="1"/>
        <rFont val="微软雅黑"/>
        <family val="2"/>
        <charset val="134"/>
      </rPr>
      <t>特殊折扣车辆</t>
    </r>
    <r>
      <rPr>
        <sz val="10"/>
        <color theme="1"/>
        <rFont val="微软雅黑"/>
        <family val="2"/>
        <charset val="134"/>
      </rPr>
      <t xml:space="preserve">（如试驾车、集团采购车辆等）不享受厂商贴息支持；
3、贴息方式：厂商直接贴息（无需经销商承担贴息费用，不扣减放款金额），关于具体的贴息结算，请以厂商公告为准或者与区域营销中心MAC进行确认
</t>
    </r>
    <phoneticPr fontId="5" type="noConversion"/>
  </si>
  <si>
    <t>全新XT5 四驱豪华版</t>
  </si>
  <si>
    <t>全新XT5 四驱尊贵版</t>
  </si>
  <si>
    <t>全新XT5 四驱铂金版</t>
  </si>
  <si>
    <r>
      <t>首付比例不得</t>
    </r>
    <r>
      <rPr>
        <b/>
        <sz val="11"/>
        <color theme="9" tint="0.79998168889431442"/>
        <rFont val="微软雅黑"/>
        <family val="2"/>
        <charset val="134"/>
      </rPr>
      <t>高</t>
    </r>
    <r>
      <rPr>
        <sz val="11"/>
        <color theme="9" tint="0.79998168889431442"/>
        <rFont val="微软雅黑"/>
        <family val="2"/>
        <charset val="134"/>
      </rPr>
      <t>于：</t>
    </r>
    <phoneticPr fontId="3" type="noConversion"/>
  </si>
  <si>
    <t>首付比例不得低于：</t>
    <phoneticPr fontId="3" type="noConversion"/>
  </si>
  <si>
    <r>
      <t>年化利率</t>
    </r>
    <r>
      <rPr>
        <b/>
        <sz val="11"/>
        <color rgb="FFFF0000"/>
        <rFont val="微软雅黑"/>
        <family val="2"/>
        <charset val="134"/>
      </rPr>
      <t>*</t>
    </r>
    <phoneticPr fontId="5" type="noConversion"/>
  </si>
  <si>
    <r>
      <t>车辆开票价</t>
    </r>
    <r>
      <rPr>
        <sz val="11"/>
        <color theme="1"/>
        <rFont val="微软雅黑"/>
        <family val="2"/>
        <charset val="134"/>
      </rPr>
      <t>(TP)</t>
    </r>
    <r>
      <rPr>
        <sz val="11"/>
        <color rgb="FFFF0000"/>
        <rFont val="微软雅黑"/>
        <family val="2"/>
        <charset val="134"/>
      </rPr>
      <t>*</t>
    </r>
    <phoneticPr fontId="5" type="noConversion"/>
  </si>
  <si>
    <t>*请将贷款金额调整至低于车辆开票价</t>
    <phoneticPr fontId="5" type="noConversion"/>
  </si>
  <si>
    <t>新能源15%起，燃油车20%起</t>
    <phoneticPr fontId="5" type="noConversion"/>
  </si>
  <si>
    <r>
      <t>客户试算总</t>
    </r>
    <r>
      <rPr>
        <b/>
        <sz val="14"/>
        <color theme="1"/>
        <rFont val="微软雅黑"/>
        <family val="2"/>
        <charset val="134"/>
      </rPr>
      <t>费</t>
    </r>
    <r>
      <rPr>
        <b/>
        <sz val="11"/>
        <color theme="1"/>
        <rFont val="微软雅黑"/>
        <family val="2"/>
        <charset val="134"/>
      </rPr>
      <t>率</t>
    </r>
    <phoneticPr fontId="5" type="noConversion"/>
  </si>
  <si>
    <r>
      <t xml:space="preserve">双优贷2.0
</t>
    </r>
    <r>
      <rPr>
        <sz val="12"/>
        <color theme="1"/>
        <rFont val="微软雅黑"/>
        <family val="2"/>
        <charset val="134"/>
      </rPr>
      <t>（非贴息）</t>
    </r>
    <phoneticPr fontId="5" type="noConversion"/>
  </si>
  <si>
    <t>个人申请：11.6双优贷2.0_新优速贷_非贴息_60期_通用</t>
    <phoneticPr fontId="5" type="noConversion"/>
  </si>
  <si>
    <t>贷款方案2</t>
    <phoneticPr fontId="5" type="noConversion"/>
  </si>
  <si>
    <r>
      <t xml:space="preserve">双优贷2.0
</t>
    </r>
    <r>
      <rPr>
        <sz val="12"/>
        <color theme="1"/>
        <rFont val="微软雅黑"/>
        <family val="2"/>
        <charset val="134"/>
      </rPr>
      <t>（经销商贴息）</t>
    </r>
    <phoneticPr fontId="5" type="noConversion"/>
  </si>
  <si>
    <t>个人申请：2025_11.6双优贷2.0_新优速贷_经销商贴息_60期_通用</t>
    <phoneticPr fontId="5" type="noConversion"/>
  </si>
  <si>
    <r>
      <t xml:space="preserve">经销商贴息
</t>
    </r>
    <r>
      <rPr>
        <sz val="9"/>
        <color rgb="FFFF0000"/>
        <rFont val="微软雅黑"/>
        <family val="2"/>
        <charset val="134"/>
      </rPr>
      <t>（100元起）</t>
    </r>
    <phoneticPr fontId="5" type="noConversion"/>
  </si>
  <si>
    <t>*经销商贴息需填写在E速通系统的
‘经销商补贴金额’处</t>
    <phoneticPr fontId="5" type="noConversion"/>
  </si>
  <si>
    <r>
      <t xml:space="preserve">双优贷1.0
</t>
    </r>
    <r>
      <rPr>
        <sz val="12"/>
        <color theme="1"/>
        <rFont val="微软雅黑"/>
        <family val="2"/>
        <charset val="134"/>
      </rPr>
      <t>（非贴息）</t>
    </r>
    <phoneticPr fontId="5" type="noConversion"/>
  </si>
  <si>
    <t>个人申请：9.7双优贷_新优速贷_非贴息_60期_通用</t>
    <phoneticPr fontId="5" type="noConversion"/>
  </si>
  <si>
    <r>
      <t xml:space="preserve">双优贷1.0
</t>
    </r>
    <r>
      <rPr>
        <sz val="12"/>
        <color theme="1"/>
        <rFont val="微软雅黑"/>
        <family val="2"/>
        <charset val="134"/>
      </rPr>
      <t>（经销商贴息）</t>
    </r>
    <phoneticPr fontId="5" type="noConversion"/>
  </si>
  <si>
    <t>双优贷-非厂商贴息</t>
    <phoneticPr fontId="5" type="noConversion"/>
  </si>
  <si>
    <t>双优贷-经销商贴息</t>
    <phoneticPr fontId="5" type="noConversion"/>
  </si>
  <si>
    <t>双优贷2.0-非厂商贴息</t>
    <phoneticPr fontId="5" type="noConversion"/>
  </si>
  <si>
    <t>双优贷2.0-经销商贴息</t>
    <phoneticPr fontId="5" type="noConversion"/>
  </si>
  <si>
    <t>24期</t>
    <phoneticPr fontId="3" type="noConversion"/>
  </si>
  <si>
    <t>12期</t>
    <phoneticPr fontId="3" type="noConversion"/>
  </si>
  <si>
    <r>
      <t xml:space="preserve">常规低息贷
</t>
    </r>
    <r>
      <rPr>
        <sz val="11"/>
        <color theme="1"/>
        <rFont val="微软雅黑"/>
        <family val="2"/>
        <charset val="134"/>
      </rPr>
      <t>（个人&amp;公户）</t>
    </r>
    <phoneticPr fontId="3" type="noConversion"/>
  </si>
  <si>
    <r>
      <t xml:space="preserve">0首付低息贷
</t>
    </r>
    <r>
      <rPr>
        <sz val="11"/>
        <color theme="1"/>
        <rFont val="微软雅黑"/>
        <family val="2"/>
        <charset val="134"/>
      </rPr>
      <t>（个人）</t>
    </r>
    <phoneticPr fontId="3" type="noConversion"/>
  </si>
  <si>
    <r>
      <t xml:space="preserve">定额贷
</t>
    </r>
    <r>
      <rPr>
        <sz val="11"/>
        <color theme="1"/>
        <rFont val="微软雅黑"/>
        <family val="2"/>
        <charset val="134"/>
      </rPr>
      <t>（个人）</t>
    </r>
    <phoneticPr fontId="3" type="noConversion"/>
  </si>
  <si>
    <r>
      <t xml:space="preserve">5050
</t>
    </r>
    <r>
      <rPr>
        <sz val="11"/>
        <color theme="1"/>
        <rFont val="微软雅黑"/>
        <family val="2"/>
        <charset val="134"/>
      </rPr>
      <t>（个人）</t>
    </r>
    <phoneticPr fontId="3" type="noConversion"/>
  </si>
  <si>
    <r>
      <t xml:space="preserve">智慧贷
</t>
    </r>
    <r>
      <rPr>
        <sz val="11"/>
        <color theme="1"/>
        <rFont val="微软雅黑"/>
        <family val="2"/>
        <charset val="134"/>
      </rPr>
      <t>（个人）</t>
    </r>
    <phoneticPr fontId="5" type="noConversion"/>
  </si>
  <si>
    <r>
      <t xml:space="preserve">双优贷2.0
</t>
    </r>
    <r>
      <rPr>
        <sz val="11"/>
        <color theme="1"/>
        <rFont val="微软雅黑"/>
        <family val="2"/>
        <charset val="134"/>
      </rPr>
      <t>（个人）</t>
    </r>
    <phoneticPr fontId="5" type="noConversion"/>
  </si>
  <si>
    <r>
      <t xml:space="preserve">仅适用于不享受厂家贴息政策的车型 以及 傲歌
</t>
    </r>
    <r>
      <rPr>
        <sz val="14"/>
        <color theme="1"/>
        <rFont val="微软雅黑"/>
        <family val="2"/>
        <charset val="134"/>
      </rPr>
      <t>（具体请以系统设置为准）</t>
    </r>
    <phoneticPr fontId="3" type="noConversion"/>
  </si>
  <si>
    <t>系统方案名称关键字</t>
  </si>
  <si>
    <t>系统方案名称关键字</t>
    <phoneticPr fontId="3" type="noConversion"/>
  </si>
  <si>
    <t>合同年化利率</t>
    <phoneticPr fontId="5" type="noConversion"/>
  </si>
  <si>
    <t>12期（尾款）</t>
    <phoneticPr fontId="3" type="noConversion"/>
  </si>
  <si>
    <t>1-11期</t>
    <phoneticPr fontId="3" type="noConversion"/>
  </si>
  <si>
    <t>36期（尾款）</t>
    <phoneticPr fontId="3" type="noConversion"/>
  </si>
  <si>
    <t>1-35期</t>
    <phoneticPr fontId="5" type="noConversion"/>
  </si>
  <si>
    <t>半付半贷
超低月供
（5050智慧贷）</t>
    <phoneticPr fontId="3" type="noConversion"/>
  </si>
  <si>
    <t>注：非厂贴双优贷方案仅适用于不享受厂家贴息政策的车型 以及 傲歌，具体请以系统设置为准</t>
    <phoneticPr fontId="3" type="noConversion"/>
  </si>
  <si>
    <r>
      <rPr>
        <b/>
        <sz val="11"/>
        <color theme="0"/>
        <rFont val="微软雅黑"/>
        <family val="2"/>
        <charset val="134"/>
      </rPr>
      <t>经销商附加品和服务金额上限要求</t>
    </r>
    <r>
      <rPr>
        <b/>
        <sz val="10"/>
        <color rgb="FFFFFF00"/>
        <rFont val="微软雅黑"/>
        <family val="2"/>
        <charset val="134"/>
      </rPr>
      <t xml:space="preserve">
“标准附加品”指：保值焕新服务/轮胎保障服务/严选置换保障/严选行车卫士</t>
    </r>
    <phoneticPr fontId="3" type="noConversion"/>
  </si>
  <si>
    <r>
      <t>注：
1、双优贷类方案仅可附加购置税及保险费；1+4阶梯贷 以及 0首付方案不支持附加品贷
2、</t>
    </r>
    <r>
      <rPr>
        <sz val="12"/>
        <color theme="1"/>
        <rFont val="微软雅黑"/>
        <family val="2"/>
        <charset val="134"/>
      </rPr>
      <t>新能源个人新车自用申请  1）首付&lt;20% 且融附加品的贷款金额上限：车辆开票价*85%+附加品总额*</t>
    </r>
    <r>
      <rPr>
        <b/>
        <sz val="12"/>
        <color theme="1"/>
        <rFont val="微软雅黑"/>
        <family val="2"/>
        <charset val="134"/>
      </rPr>
      <t>80%</t>
    </r>
    <r>
      <rPr>
        <sz val="12"/>
        <color theme="1"/>
        <rFont val="微软雅黑"/>
        <family val="2"/>
        <charset val="134"/>
      </rPr>
      <t xml:space="preserve"> 
                                        2）≥20% 且融附加品的贷款金额上限：车辆开票价*80%+附加品总额*80% （等比）
    </t>
    </r>
    <r>
      <rPr>
        <b/>
        <sz val="12"/>
        <color theme="1"/>
        <rFont val="微软雅黑"/>
        <family val="2"/>
        <charset val="134"/>
      </rPr>
      <t>举例</t>
    </r>
    <r>
      <rPr>
        <sz val="12"/>
        <color theme="1"/>
        <rFont val="微软雅黑"/>
        <family val="2"/>
        <charset val="134"/>
      </rPr>
      <t>：</t>
    </r>
    <r>
      <rPr>
        <i/>
        <sz val="12"/>
        <color theme="1"/>
        <rFont val="微软雅黑"/>
        <family val="2"/>
        <charset val="134"/>
      </rPr>
      <t>某车开票价20万、附加品合计2万，客户首付15%。该客户贷款金额为200000*85%+20000*80%=186000元</t>
    </r>
    <r>
      <rPr>
        <sz val="12"/>
        <color theme="1"/>
        <rFont val="微软雅黑"/>
        <family val="2"/>
        <charset val="134"/>
      </rPr>
      <t xml:space="preserve">
补充说明：当客户首付比例大于20%时，附加品贷款额与车辆贷款额一起等比计算。
</t>
    </r>
    <r>
      <rPr>
        <i/>
        <sz val="12"/>
        <color theme="1"/>
        <rFont val="微软雅黑"/>
        <family val="2"/>
        <charset val="134"/>
      </rPr>
      <t xml:space="preserve">    例：某车开票价20万、附加品合计2万，客户首付30%。该客户贷款金额为（200000+20000）*70%=154000元</t>
    </r>
    <phoneticPr fontId="5" type="noConversion"/>
  </si>
  <si>
    <r>
      <t xml:space="preserve">   
</t>
    </r>
    <r>
      <rPr>
        <b/>
        <sz val="10"/>
        <color theme="1"/>
        <rFont val="微软雅黑"/>
        <family val="2"/>
        <charset val="134"/>
      </rPr>
      <t>个体户经营者居住地、个体户经营者工作地，以及经销商所在地在同一省份。</t>
    </r>
    <r>
      <rPr>
        <sz val="10"/>
        <color theme="1"/>
        <rFont val="微软雅黑"/>
        <family val="2"/>
        <charset val="134"/>
      </rPr>
      <t>（申请人须与个体户经营者保持一致，个体户经营者名下驾照）
注：1、个体工商户升级产品政策仅适用</t>
    </r>
    <r>
      <rPr>
        <b/>
        <sz val="10"/>
        <color rgb="FFFF0000"/>
        <rFont val="微软雅黑"/>
        <family val="2"/>
        <charset val="134"/>
      </rPr>
      <t>江苏省、宁波、福州、厦门、莆田、石家庄、郑州、乌鲁木齐</t>
    </r>
    <r>
      <rPr>
        <sz val="10"/>
        <color theme="1"/>
        <rFont val="微软雅黑"/>
        <family val="2"/>
        <charset val="134"/>
      </rPr>
      <t>（具体以系统为准）
       2、个体工商户升级促销产品与个体工商户促销产品的厂商贴息政策一致
         （个体工商户升级产品是个体户经营者个人申请贷款，上个体户牌照，请注意在E速通系统中选择带有“</t>
    </r>
    <r>
      <rPr>
        <b/>
        <sz val="10"/>
        <color rgb="FFFF0000"/>
        <rFont val="微软雅黑"/>
        <family val="2"/>
        <charset val="134"/>
      </rPr>
      <t>个体工商户升级</t>
    </r>
    <r>
      <rPr>
        <sz val="10"/>
        <color theme="1"/>
        <rFont val="微软雅黑"/>
        <family val="2"/>
        <charset val="134"/>
      </rPr>
      <t>”字样的方案）
       3、不支持公务员/政府工作人员/军人等相关单位/职业申请该方案</t>
    </r>
    <phoneticPr fontId="5" type="noConversion"/>
  </si>
  <si>
    <t>全新XT5 大都会型</t>
    <phoneticPr fontId="3" type="noConversion"/>
  </si>
  <si>
    <t>个人申请：厂贴_5.99贴息_5050_12期2.99%</t>
    <phoneticPr fontId="3" type="noConversion"/>
  </si>
  <si>
    <t>个人申请：厂贴_5.99贴息_智慧式 20%/30% 首付36期5.88%</t>
    <phoneticPr fontId="3" type="noConversion"/>
  </si>
  <si>
    <t>个人申请：厂贴_新双优贷2.0_新优速贷_60期11%_凯迪油车</t>
    <phoneticPr fontId="3" type="noConversion"/>
  </si>
  <si>
    <t>个人申请：厂贴_5.99贴息 新优速贷/个体工商户升级 24期/36期/48期/60期 5.88%
企业申请：厂贴_5.99贴息 新公牌易贷/个体工商户 24期/36期/48期/60期 5.88%</t>
    <phoneticPr fontId="3" type="noConversion"/>
  </si>
  <si>
    <t>个人申请：厂贴_5.99贴息_5050_12期5.88%</t>
    <phoneticPr fontId="3" type="noConversion"/>
  </si>
  <si>
    <t>个人申请：厂贴_5.99贴息 新优速贷/个体工商户升级 12期12万0.99%
企业申请：厂贴_5.99贴息 新公牌易贷/个体工商户 12期12万0.99%</t>
    <phoneticPr fontId="3" type="noConversion"/>
  </si>
  <si>
    <t>个人申请：厂贴_常规贴息_60期8万定额贷_1+4阶梯贷_凯迪油车</t>
    <phoneticPr fontId="3" type="noConversion"/>
  </si>
  <si>
    <t>常规 5.99%
5050智慧贷 5.99%</t>
    <phoneticPr fontId="3" type="noConversion"/>
  </si>
  <si>
    <t>常规低息 (24-60期)
5050智慧贷(12期）</t>
    <phoneticPr fontId="3" type="noConversion"/>
  </si>
  <si>
    <t>个人申请：厂贴_5.99贴息 新优速贷/个体工商户升级 24期3.99%/36期4.99%/48期4.99%/60期5.29%
企业申请：厂贴_5.99贴息 新公牌易贷/个体工商户  24期3.99%/36期4.99%/48期4.99%/60期5.29%</t>
    <phoneticPr fontId="3" type="noConversion"/>
  </si>
  <si>
    <r>
      <t>市场指导价</t>
    </r>
    <r>
      <rPr>
        <sz val="11"/>
        <color theme="1"/>
        <rFont val="微软雅黑"/>
        <family val="2"/>
        <charset val="134"/>
      </rPr>
      <t>(MSRP)</t>
    </r>
    <phoneticPr fontId="5" type="noConversion"/>
  </si>
  <si>
    <t>车型</t>
    <phoneticPr fontId="5" type="noConversion"/>
  </si>
  <si>
    <t>CT5、CT6、
全新XT5、
XT4、XT6</t>
    <phoneticPr fontId="5" type="noConversion"/>
  </si>
  <si>
    <t>车系</t>
    <phoneticPr fontId="3" type="noConversion"/>
  </si>
  <si>
    <t>全新XT5</t>
  </si>
  <si>
    <t>全新XT5 大都会型</t>
  </si>
  <si>
    <t>CT5_</t>
    <phoneticPr fontId="3" type="noConversion"/>
  </si>
  <si>
    <t>CT6_</t>
    <phoneticPr fontId="3" type="noConversion"/>
  </si>
  <si>
    <t>XT4_</t>
    <phoneticPr fontId="3" type="noConversion"/>
  </si>
  <si>
    <t>XT6_</t>
    <phoneticPr fontId="3" type="noConversion"/>
  </si>
  <si>
    <t>个人申请：厂贴_5.99贴息 新优速贷 0首付 24期 3.99%</t>
    <phoneticPr fontId="3" type="noConversion"/>
  </si>
  <si>
    <t>个人申请：厂贴_5.99贴息 新优速贷 0首付 12期 2.99%</t>
    <phoneticPr fontId="3" type="noConversion"/>
  </si>
  <si>
    <t>XT4  1.5T Comfort 前驱</t>
    <phoneticPr fontId="3" type="noConversion"/>
  </si>
  <si>
    <r>
      <t>贷款金额</t>
    </r>
    <r>
      <rPr>
        <b/>
        <sz val="11"/>
        <color rgb="FFFF0000"/>
        <rFont val="微软雅黑"/>
        <family val="2"/>
        <charset val="134"/>
      </rPr>
      <t>*
（5万起）</t>
    </r>
    <phoneticPr fontId="5" type="noConversion"/>
  </si>
  <si>
    <r>
      <t>贷款金额</t>
    </r>
    <r>
      <rPr>
        <b/>
        <sz val="12"/>
        <color rgb="FFFF0000"/>
        <rFont val="微软雅黑"/>
        <family val="2"/>
        <charset val="134"/>
      </rPr>
      <t>*</t>
    </r>
    <r>
      <rPr>
        <b/>
        <sz val="12"/>
        <color theme="1"/>
        <rFont val="微软雅黑"/>
        <family val="2"/>
        <charset val="134"/>
      </rPr>
      <t xml:space="preserve">
</t>
    </r>
    <r>
      <rPr>
        <sz val="12"/>
        <color theme="1"/>
        <rFont val="微软雅黑"/>
        <family val="2"/>
        <charset val="134"/>
      </rPr>
      <t>（5万起贷）</t>
    </r>
    <phoneticPr fontId="5" type="noConversion"/>
  </si>
  <si>
    <t>个人申请：10.9新通用 新优速贷/个体工商户升级 非贴息_12-60期
企业申请：10.9新通用 新公牌易贷/个体工商户  非贴息_12-60期
企业商用：10.9新通用_营运租赁_非贴息_12-36期</t>
    <phoneticPr fontId="3" type="noConversion"/>
  </si>
  <si>
    <t>个人申请：9.9新通用 新优速贷/个体工商户升级 非贴息_12-60期
企业申请：9.9新通用 新公牌易贷/个体工商户  非贴息_12-60期
企业商用：9.9新通用_营运租赁_非贴息_12-36期</t>
    <phoneticPr fontId="3" type="noConversion"/>
  </si>
  <si>
    <t>个人申请：8.98新通用 新优速贷/个体工商户升级 非贴息_12-60期
企业申请：8.98新通用 新公牌易贷/个体工商户  非贴息_12-60期
企业商用：8.98新通用_营运租赁_非贴息_12-36期</t>
    <phoneticPr fontId="5" type="noConversion"/>
  </si>
  <si>
    <t>个人申请：10.9新通用 新优速贷/个体工商户升级 经销商贴息_12-60期
企业申请：10.9新通用 新公牌易贷/个体工商户  经销商贴息_12-60期
企业商用：10.9新通用_营运租赁_经销商贴息_12-36期</t>
    <phoneticPr fontId="3" type="noConversion"/>
  </si>
  <si>
    <t>个人申请：9.9新通用 新优速贷/个体工商户升级 经销商贴息_12-60期
企业申请：9.9新通用 新公牌易贷/个体工商户  经销商贴息_12-60期
企业商用：9.9新通用_营运租赁_经销商贴息_12-36期</t>
    <phoneticPr fontId="3" type="noConversion"/>
  </si>
  <si>
    <t>个人申请：8.98新通用 新优速贷/个体工商户升级 经销商贴息_12-60期
企业申请：8.98新通用 新公牌易贷/个体工商户  经销商贴息_12-60期
企业商用：8.98新通用_营运租赁_经销商贴息_12-36期</t>
    <phoneticPr fontId="5" type="noConversion"/>
  </si>
  <si>
    <t>车系1</t>
    <phoneticPr fontId="3" type="noConversion"/>
  </si>
  <si>
    <t>新CT6（MY23.6）</t>
  </si>
  <si>
    <t>28T 臻享版</t>
  </si>
  <si>
    <t>28T 奢享版</t>
  </si>
  <si>
    <t>28T 旗舰版</t>
  </si>
  <si>
    <t>0首付常规低息(12期/24期)
常规低息 (24-60期)
0.99% 10万定额贷(24期）
5050智慧贷(12期）
20%/30%首付 智慧式(36期）
双优贷2.0(60期)</t>
    <phoneticPr fontId="3" type="noConversion"/>
  </si>
  <si>
    <t>常规 5.99%
5050智慧贷 5.99%
36期智慧式 5.99%
双优贷2.0  11.60%</t>
    <phoneticPr fontId="3" type="noConversion"/>
  </si>
  <si>
    <t>新CT6 28T 臻享版</t>
  </si>
  <si>
    <t>新CT6 28T 臻享版</t>
    <phoneticPr fontId="3" type="noConversion"/>
  </si>
  <si>
    <t>新CT6 28T 奢享版</t>
  </si>
  <si>
    <t>新CT6 28T 奢享版</t>
    <phoneticPr fontId="3" type="noConversion"/>
  </si>
  <si>
    <t>新CT6 28T 旗舰版</t>
  </si>
  <si>
    <t>新CT6 28T 旗舰版</t>
    <phoneticPr fontId="3" type="noConversion"/>
  </si>
  <si>
    <t>新CT6</t>
    <phoneticPr fontId="5" type="noConversion"/>
  </si>
  <si>
    <t>新CT6_</t>
  </si>
  <si>
    <t>新CT6_</t>
    <phoneticPr fontId="3" type="noConversion"/>
  </si>
  <si>
    <t>新CT6</t>
    <phoneticPr fontId="3" type="noConversion"/>
  </si>
  <si>
    <t>10万定额</t>
    <phoneticPr fontId="3" type="noConversion"/>
  </si>
  <si>
    <t>24期
贷款金额</t>
    <phoneticPr fontId="3" type="noConversion"/>
  </si>
  <si>
    <r>
      <t xml:space="preserve">凯迪拉克品牌
所有新车
</t>
    </r>
    <r>
      <rPr>
        <sz val="14"/>
        <color theme="1"/>
        <rFont val="微软雅黑"/>
        <family val="2"/>
        <charset val="134"/>
      </rPr>
      <t>（具体请以系统设置为准）</t>
    </r>
    <phoneticPr fontId="5" type="noConversion"/>
  </si>
  <si>
    <t>个人申请：厂贴_5.99贴息 新优速贷/个体工商户升级 24期10万0.99%
企业申请：厂贴_5.99贴息 新公牌易贷/个体工商户 24期10万0.99%</t>
    <phoneticPr fontId="3" type="noConversion"/>
  </si>
  <si>
    <t>厂贴_常规贴息(新CT6）</t>
    <phoneticPr fontId="5" type="noConversion"/>
  </si>
  <si>
    <t>常规 5.99%
5050智慧贷 5.99%
36期智慧式 5.99%
双优贷2.0  11.60%</t>
    <phoneticPr fontId="5" type="noConversion"/>
  </si>
  <si>
    <t>8万定额</t>
    <phoneticPr fontId="3" type="noConversion"/>
  </si>
  <si>
    <t>贷款方案-6</t>
    <phoneticPr fontId="5" type="noConversion"/>
  </si>
  <si>
    <t>个人申请：厂贴_5.99贴息 新优速贷/个体工商户升级 24期8万1.99%
企业申请：厂贴_5.99贴息 新公牌易贷/个体工商户 24期8万1.99%</t>
    <phoneticPr fontId="3" type="noConversion"/>
  </si>
  <si>
    <t>0首付常规低息(12期/24期)
常规低息 (24-60期)
0.99% 12万定额贷(12期）
1.99% 8万定额贷(24期）
5050智慧贷(12期）
20%/30%首付 智慧式(36期）
双优贷2.0(60期)</t>
    <phoneticPr fontId="5" type="noConversion"/>
  </si>
  <si>
    <r>
      <t>年化利率</t>
    </r>
    <r>
      <rPr>
        <b/>
        <sz val="18"/>
        <color rgb="FFFF0000"/>
        <rFont val="微软雅黑"/>
        <family val="2"/>
        <charset val="134"/>
      </rPr>
      <t>*</t>
    </r>
    <r>
      <rPr>
        <b/>
        <sz val="11"/>
        <color theme="1"/>
        <rFont val="微软雅黑"/>
        <family val="2"/>
        <charset val="134"/>
      </rPr>
      <t xml:space="preserve">
</t>
    </r>
    <r>
      <rPr>
        <b/>
        <sz val="11"/>
        <color theme="9" tint="0.79998168889431442"/>
        <rFont val="微软雅黑"/>
        <family val="2"/>
        <charset val="134"/>
      </rPr>
      <t>（点选切换）</t>
    </r>
    <phoneticPr fontId="5" type="noConversion"/>
  </si>
  <si>
    <t>36期（含尾款）</t>
    <phoneticPr fontId="3" type="noConversion"/>
  </si>
  <si>
    <t>12期（含尾款）</t>
    <phoneticPr fontId="3" type="noConversion"/>
  </si>
  <si>
    <t>系统录入尾款金额</t>
    <phoneticPr fontId="3" type="noConversion"/>
  </si>
  <si>
    <t>全新CT5 28T 尊贵型</t>
    <phoneticPr fontId="3" type="noConversion"/>
  </si>
  <si>
    <t>XT4智驭尊贵型</t>
    <phoneticPr fontId="3" type="noConversion"/>
  </si>
  <si>
    <t>XT4_</t>
  </si>
  <si>
    <t>XT4智驭尊贵型</t>
  </si>
  <si>
    <t>申请截止至：2026/4/30
放款截止至：2026/5/31</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</si>
</sst>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8" formatCode="&quot;¥&quot;#,##0.00;[Red]&quot;¥&quot;\-#,##0.00"/>
    <numFmt numFmtId="176" formatCode="#,##0_ ;[Red]\-#,##0\ "/>
    <numFmt numFmtId="177" formatCode="_(* #,##0.00_);_(* \(#,##0.00\);_(* &quot;-&quot;??_);_(@_)"/>
    <numFmt numFmtId="178" formatCode="_(* #,##0_);_(* \(#,##0\);_(* &quot;-&quot;??_);_(@_)"/>
    <numFmt numFmtId="179" formatCode="#,##0_);[Red]\(#,##0\)"/>
    <numFmt numFmtId="180" formatCode="#,##0_ "/>
    <numFmt numFmtId="181" formatCode="0.00_);[Red]\(0.00\)"/>
    <numFmt numFmtId="182" formatCode="0_);[Red]\(0\)"/>
    <numFmt numFmtId="183" formatCode="#,##0.00_ "/>
    <numFmt numFmtId="184" formatCode="0.00_);\(0.00\)"/>
    <numFmt numFmtId="185" formatCode="#,##0_);\(#,##0\)"/>
    <numFmt numFmtId="186" formatCode="#,##0.00_);\(#,##0.00\)"/>
    <numFmt numFmtId="187" formatCode="#,##0.00_);[Red]\(#,##0.00\)"/>
    <numFmt numFmtId="188" formatCode="0.0%"/>
  </numFmts>
  <fonts count="122">
    <font>
      <sz val="11"/>
      <color theme="1"/>
      <name val="等线"/>
      <family val="2"/>
      <charset val="134"/>
      <scheme val="minor"/>
    </font>
    <font>
      <sz val="11"/>
      <color theme="1"/>
      <name val="等线"/>
      <family val="2"/>
      <charset val="134"/>
      <scheme val="minor"/>
    </font>
    <font>
      <sz val="10"/>
      <color theme="1"/>
      <name val="微软雅黑"/>
      <family val="2"/>
      <charset val="134"/>
    </font>
    <font>
      <sz val="9"/>
      <name val="等线"/>
      <family val="2"/>
      <charset val="134"/>
      <scheme val="minor"/>
    </font>
    <font>
      <b/>
      <sz val="11"/>
      <color theme="1"/>
      <name val="微软雅黑"/>
      <family val="2"/>
      <charset val="134"/>
    </font>
    <font>
      <sz val="9"/>
      <name val="等线"/>
      <family val="3"/>
      <charset val="134"/>
      <scheme val="minor"/>
    </font>
    <font>
      <sz val="11"/>
      <color theme="1"/>
      <name val="等线"/>
      <family val="2"/>
      <scheme val="minor"/>
    </font>
    <font>
      <sz val="11"/>
      <color theme="1"/>
      <name val="等线"/>
      <family val="3"/>
      <charset val="134"/>
      <scheme val="minor"/>
    </font>
    <font>
      <b/>
      <sz val="11"/>
      <color indexed="8"/>
      <name val="微软雅黑"/>
      <family val="2"/>
      <charset val="134"/>
    </font>
    <font>
      <b/>
      <sz val="11"/>
      <color rgb="FFFF0000"/>
      <name val="微软雅黑"/>
      <family val="2"/>
      <charset val="134"/>
    </font>
    <font>
      <b/>
      <sz val="12"/>
      <color theme="1"/>
      <name val="微软雅黑"/>
      <family val="2"/>
      <charset val="134"/>
    </font>
    <font>
      <sz val="12"/>
      <color theme="1"/>
      <name val="微软雅黑"/>
      <family val="2"/>
      <charset val="134"/>
    </font>
    <font>
      <sz val="12"/>
      <color theme="9" tint="0.79998168889431442"/>
      <name val="微软雅黑"/>
      <family val="2"/>
      <charset val="134"/>
    </font>
    <font>
      <sz val="11"/>
      <color theme="1"/>
      <name val="微软雅黑"/>
      <family val="2"/>
      <charset val="134"/>
    </font>
    <font>
      <b/>
      <sz val="10"/>
      <color rgb="FF0033CC"/>
      <name val="微软雅黑"/>
      <family val="2"/>
      <charset val="134"/>
    </font>
    <font>
      <sz val="12"/>
      <name val="微软雅黑"/>
      <family val="2"/>
      <charset val="134"/>
    </font>
    <font>
      <sz val="9"/>
      <name val="Microsoft YaHei UI"/>
      <family val="2"/>
      <charset val="134"/>
    </font>
    <font>
      <b/>
      <i/>
      <sz val="12"/>
      <color theme="0"/>
      <name val="微软雅黑"/>
      <family val="2"/>
      <charset val="134"/>
    </font>
    <font>
      <sz val="10"/>
      <color theme="1" tint="0.499984740745262"/>
      <name val="微软雅黑"/>
      <family val="2"/>
      <charset val="134"/>
    </font>
    <font>
      <b/>
      <i/>
      <sz val="10"/>
      <color theme="1"/>
      <name val="微软雅黑"/>
      <family val="2"/>
      <charset val="134"/>
    </font>
    <font>
      <sz val="9"/>
      <color theme="1"/>
      <name val="微软雅黑"/>
      <family val="2"/>
      <charset val="134"/>
    </font>
    <font>
      <sz val="10"/>
      <name val="微软雅黑"/>
      <family val="2"/>
      <charset val="134"/>
    </font>
    <font>
      <b/>
      <i/>
      <sz val="10"/>
      <name val="微软雅黑"/>
      <family val="2"/>
      <charset val="134"/>
    </font>
    <font>
      <sz val="9"/>
      <color theme="9" tint="0.79998168889431442"/>
      <name val="微软雅黑"/>
      <family val="2"/>
      <charset val="134"/>
    </font>
    <font>
      <b/>
      <sz val="12"/>
      <color rgb="FFFF0000"/>
      <name val="微软雅黑"/>
      <family val="2"/>
      <charset val="134"/>
    </font>
    <font>
      <b/>
      <sz val="11"/>
      <color rgb="FF3A07B9"/>
      <name val="微软雅黑"/>
      <family val="2"/>
      <charset val="134"/>
    </font>
    <font>
      <b/>
      <sz val="14"/>
      <color theme="0"/>
      <name val="微软雅黑"/>
      <family val="2"/>
      <charset val="134"/>
    </font>
    <font>
      <b/>
      <sz val="11"/>
      <color theme="1"/>
      <name val="等线"/>
      <family val="3"/>
      <charset val="134"/>
      <scheme val="minor"/>
    </font>
    <font>
      <sz val="10"/>
      <color theme="0" tint="-0.34998626667073579"/>
      <name val="微软雅黑"/>
      <family val="2"/>
      <charset val="134"/>
    </font>
    <font>
      <b/>
      <i/>
      <sz val="10"/>
      <color theme="0" tint="-0.34998626667073579"/>
      <name val="微软雅黑"/>
      <family val="2"/>
      <charset val="134"/>
    </font>
    <font>
      <sz val="11"/>
      <color rgb="FFFF0000"/>
      <name val="微软雅黑"/>
      <family val="2"/>
      <charset val="134"/>
    </font>
    <font>
      <sz val="8"/>
      <color theme="1"/>
      <name val="微软雅黑"/>
      <family val="2"/>
      <charset val="134"/>
    </font>
    <font>
      <b/>
      <sz val="9"/>
      <color theme="1"/>
      <name val="微软雅黑"/>
      <family val="2"/>
      <charset val="134"/>
    </font>
    <font>
      <u/>
      <sz val="11"/>
      <color theme="10"/>
      <name val="等线"/>
      <family val="2"/>
      <scheme val="minor"/>
    </font>
    <font>
      <b/>
      <u/>
      <sz val="16"/>
      <color theme="4" tint="-0.249977111117893"/>
      <name val="微软雅黑"/>
      <family val="2"/>
      <charset val="134"/>
    </font>
    <font>
      <b/>
      <sz val="10"/>
      <color theme="1"/>
      <name val="微软雅黑"/>
      <family val="2"/>
      <charset val="134"/>
    </font>
    <font>
      <sz val="10"/>
      <color rgb="FFFF0000"/>
      <name val="微软雅黑"/>
      <family val="2"/>
      <charset val="134"/>
    </font>
    <font>
      <b/>
      <sz val="12"/>
      <name val="微软雅黑"/>
      <family val="2"/>
      <charset val="134"/>
    </font>
    <font>
      <b/>
      <sz val="11"/>
      <name val="微软雅黑"/>
      <family val="2"/>
      <charset val="134"/>
    </font>
    <font>
      <b/>
      <u/>
      <sz val="22"/>
      <color theme="10"/>
      <name val="微软雅黑"/>
      <family val="2"/>
      <charset val="134"/>
    </font>
    <font>
      <b/>
      <sz val="11"/>
      <color rgb="FF0000FF"/>
      <name val="微软雅黑"/>
      <family val="2"/>
      <charset val="134"/>
    </font>
    <font>
      <b/>
      <sz val="12"/>
      <color rgb="FF0000FF"/>
      <name val="微软雅黑"/>
      <family val="2"/>
      <charset val="134"/>
    </font>
    <font>
      <b/>
      <sz val="16"/>
      <color theme="0"/>
      <name val="微软雅黑"/>
      <family val="2"/>
      <charset val="134"/>
    </font>
    <font>
      <b/>
      <sz val="12"/>
      <color theme="0"/>
      <name val="微软雅黑"/>
      <family val="2"/>
      <charset val="134"/>
    </font>
    <font>
      <b/>
      <sz val="14"/>
      <color theme="1"/>
      <name val="微软雅黑"/>
      <family val="2"/>
      <charset val="134"/>
    </font>
    <font>
      <b/>
      <sz val="12"/>
      <color theme="8" tint="-0.249977111117893"/>
      <name val="微软雅黑"/>
      <family val="2"/>
      <charset val="134"/>
    </font>
    <font>
      <sz val="10"/>
      <color rgb="FF3A07B9"/>
      <name val="微软雅黑"/>
      <family val="2"/>
      <charset val="134"/>
    </font>
    <font>
      <b/>
      <sz val="10"/>
      <color theme="1" tint="0.499984740745262"/>
      <name val="微软雅黑"/>
      <family val="2"/>
      <charset val="134"/>
    </font>
    <font>
      <i/>
      <sz val="9"/>
      <color theme="1"/>
      <name val="微软雅黑"/>
      <family val="2"/>
      <charset val="134"/>
    </font>
    <font>
      <b/>
      <i/>
      <sz val="11"/>
      <color theme="1"/>
      <name val="微软雅黑"/>
      <family val="2"/>
      <charset val="134"/>
    </font>
    <font>
      <b/>
      <sz val="18"/>
      <color rgb="FFFF0000"/>
      <name val="微软雅黑"/>
      <family val="2"/>
      <charset val="134"/>
    </font>
    <font>
      <sz val="10"/>
      <color theme="9" tint="0.79998168889431442"/>
      <name val="微软雅黑"/>
      <family val="2"/>
      <charset val="134"/>
    </font>
    <font>
      <b/>
      <sz val="10"/>
      <color rgb="FFFF0000"/>
      <name val="微软雅黑"/>
      <family val="2"/>
      <charset val="134"/>
    </font>
    <font>
      <b/>
      <sz val="10"/>
      <color indexed="8"/>
      <name val="微软雅黑"/>
      <family val="2"/>
      <charset val="134"/>
    </font>
    <font>
      <sz val="10"/>
      <color indexed="8"/>
      <name val="微软雅黑"/>
      <family val="2"/>
      <charset val="134"/>
    </font>
    <font>
      <b/>
      <sz val="11"/>
      <color theme="1" tint="0.34998626667073579"/>
      <name val="微软雅黑"/>
      <family val="2"/>
      <charset val="134"/>
    </font>
    <font>
      <sz val="11"/>
      <name val="微软雅黑"/>
      <family val="2"/>
      <charset val="134"/>
    </font>
    <font>
      <b/>
      <sz val="10"/>
      <color theme="9" tint="0.79998168889431442"/>
      <name val="微软雅黑"/>
      <family val="2"/>
      <charset val="134"/>
    </font>
    <font>
      <b/>
      <sz val="10"/>
      <color theme="1" tint="0.34998626667073579"/>
      <name val="微软雅黑"/>
      <family val="2"/>
      <charset val="134"/>
    </font>
    <font>
      <b/>
      <sz val="16"/>
      <color theme="1"/>
      <name val="微软雅黑"/>
      <family val="2"/>
      <charset val="134"/>
    </font>
    <font>
      <sz val="10"/>
      <color theme="8" tint="-0.249977111117893"/>
      <name val="微软雅黑"/>
      <family val="2"/>
      <charset val="134"/>
    </font>
    <font>
      <sz val="11"/>
      <color theme="8" tint="-0.249977111117893"/>
      <name val="微软雅黑"/>
      <family val="2"/>
      <charset val="134"/>
    </font>
    <font>
      <sz val="11"/>
      <color indexed="8"/>
      <name val="微软雅黑"/>
      <family val="2"/>
      <charset val="134"/>
    </font>
    <font>
      <b/>
      <sz val="28"/>
      <color rgb="FFFFFF00"/>
      <name val="微软雅黑"/>
      <family val="2"/>
      <charset val="134"/>
    </font>
    <font>
      <b/>
      <sz val="10"/>
      <name val="微软雅黑"/>
      <family val="2"/>
      <charset val="134"/>
    </font>
    <font>
      <u/>
      <sz val="9"/>
      <color theme="1"/>
      <name val="微软雅黑"/>
      <family val="2"/>
      <charset val="134"/>
    </font>
    <font>
      <sz val="9"/>
      <color theme="1" tint="0.499984740745262"/>
      <name val="微软雅黑"/>
      <family val="2"/>
      <charset val="134"/>
    </font>
    <font>
      <sz val="10"/>
      <color rgb="FFC00000"/>
      <name val="微软雅黑"/>
      <family val="2"/>
      <charset val="134"/>
    </font>
    <font>
      <sz val="6"/>
      <color theme="0"/>
      <name val="微软雅黑"/>
      <family val="2"/>
      <charset val="134"/>
    </font>
    <font>
      <sz val="11"/>
      <color theme="1"/>
      <name val="等线"/>
      <family val="3"/>
      <charset val="134"/>
    </font>
    <font>
      <b/>
      <sz val="11"/>
      <color rgb="FFFFFF00"/>
      <name val="微软雅黑"/>
      <family val="2"/>
      <charset val="134"/>
    </font>
    <font>
      <b/>
      <sz val="18"/>
      <color rgb="FFFFFF00"/>
      <name val="幼圆"/>
      <family val="3"/>
      <charset val="134"/>
    </font>
    <font>
      <b/>
      <sz val="11"/>
      <color theme="0"/>
      <name val="微软雅黑"/>
      <family val="2"/>
      <charset val="134"/>
    </font>
    <font>
      <b/>
      <sz val="11"/>
      <color theme="0"/>
      <name val="等线"/>
      <family val="3"/>
      <charset val="134"/>
    </font>
    <font>
      <sz val="11"/>
      <color theme="0"/>
      <name val="微软雅黑"/>
      <family val="2"/>
      <charset val="134"/>
    </font>
    <font>
      <b/>
      <sz val="10.5"/>
      <color theme="1"/>
      <name val="微软雅黑"/>
      <family val="2"/>
      <charset val="134"/>
    </font>
    <font>
      <sz val="10.5"/>
      <color theme="1"/>
      <name val="微软雅黑"/>
      <family val="2"/>
      <charset val="134"/>
    </font>
    <font>
      <b/>
      <sz val="10"/>
      <color rgb="FF000000"/>
      <name val="微软雅黑"/>
      <family val="2"/>
      <charset val="134"/>
    </font>
    <font>
      <sz val="10"/>
      <color rgb="FF000000"/>
      <name val="微软雅黑"/>
      <family val="2"/>
      <charset val="134"/>
    </font>
    <font>
      <b/>
      <sz val="10"/>
      <color rgb="FFFFFF00"/>
      <name val="微软雅黑"/>
      <family val="2"/>
      <charset val="134"/>
    </font>
    <font>
      <b/>
      <sz val="11"/>
      <color theme="1"/>
      <name val="等线"/>
      <family val="3"/>
      <charset val="134"/>
    </font>
    <font>
      <sz val="14"/>
      <color theme="1"/>
      <name val="隶书"/>
      <family val="3"/>
      <charset val="134"/>
    </font>
    <font>
      <sz val="9"/>
      <color rgb="FFFF0000"/>
      <name val="微软雅黑"/>
      <family val="2"/>
      <charset val="134"/>
    </font>
    <font>
      <b/>
      <sz val="14"/>
      <color rgb="FF000000"/>
      <name val="微软雅黑"/>
      <family val="2"/>
      <charset val="134"/>
    </font>
    <font>
      <b/>
      <sz val="12"/>
      <color rgb="FFC00000"/>
      <name val="微软雅黑"/>
      <family val="2"/>
      <charset val="134"/>
    </font>
    <font>
      <sz val="14"/>
      <color theme="1"/>
      <name val="华文隶书"/>
      <family val="3"/>
      <charset val="134"/>
    </font>
    <font>
      <b/>
      <sz val="14"/>
      <color rgb="FFFF0000"/>
      <name val="微软雅黑"/>
      <family val="2"/>
      <charset val="134"/>
    </font>
    <font>
      <u/>
      <sz val="10"/>
      <color theme="1"/>
      <name val="微软雅黑"/>
      <family val="2"/>
      <charset val="134"/>
    </font>
    <font>
      <b/>
      <u/>
      <sz val="26"/>
      <color theme="10"/>
      <name val="等线"/>
      <family val="3"/>
      <charset val="134"/>
      <scheme val="minor"/>
    </font>
    <font>
      <b/>
      <u/>
      <sz val="36"/>
      <color theme="10"/>
      <name val="等线"/>
      <family val="3"/>
      <charset val="134"/>
      <scheme val="minor"/>
    </font>
    <font>
      <sz val="11"/>
      <color rgb="FFC00000"/>
      <name val="微软雅黑"/>
      <family val="2"/>
      <charset val="134"/>
    </font>
    <font>
      <sz val="11"/>
      <color rgb="FFC00000"/>
      <name val="等线"/>
      <family val="2"/>
      <scheme val="minor"/>
    </font>
    <font>
      <sz val="18"/>
      <color rgb="FFFF0000"/>
      <name val="微软雅黑"/>
      <family val="2"/>
      <charset val="134"/>
    </font>
    <font>
      <b/>
      <sz val="18"/>
      <name val="微软雅黑"/>
      <family val="2"/>
      <charset val="134"/>
    </font>
    <font>
      <b/>
      <sz val="18"/>
      <color theme="1"/>
      <name val="微软雅黑"/>
      <family val="2"/>
      <charset val="134"/>
    </font>
    <font>
      <sz val="18"/>
      <color theme="1"/>
      <name val="微软雅黑"/>
      <family val="2"/>
      <charset val="134"/>
    </font>
    <font>
      <sz val="14"/>
      <color theme="1"/>
      <name val="微软雅黑"/>
      <family val="2"/>
      <charset val="134"/>
    </font>
    <font>
      <b/>
      <u/>
      <sz val="18"/>
      <color theme="10"/>
      <name val="等线"/>
      <family val="3"/>
      <charset val="134"/>
      <scheme val="minor"/>
    </font>
    <font>
      <b/>
      <u/>
      <sz val="16"/>
      <color rgb="FF0070C0"/>
      <name val="等线"/>
      <family val="3"/>
      <charset val="134"/>
    </font>
    <font>
      <sz val="11"/>
      <color theme="9" tint="0.79998168889431442"/>
      <name val="等线"/>
      <family val="2"/>
      <scheme val="minor"/>
    </font>
    <font>
      <b/>
      <sz val="12"/>
      <color theme="8" tint="-0.499984740745262"/>
      <name val="微软雅黑"/>
      <family val="2"/>
      <charset val="134"/>
    </font>
    <font>
      <b/>
      <sz val="11"/>
      <color theme="8" tint="-0.249977111117893"/>
      <name val="微软雅黑"/>
      <family val="2"/>
      <charset val="134"/>
    </font>
    <font>
      <sz val="11"/>
      <color theme="9" tint="0.79998168889431442"/>
      <name val="微软雅黑"/>
      <family val="2"/>
      <charset val="134"/>
    </font>
    <font>
      <sz val="8"/>
      <color theme="8" tint="-0.249977111117893"/>
      <name val="微软雅黑"/>
      <family val="2"/>
      <charset val="134"/>
    </font>
    <font>
      <b/>
      <sz val="11"/>
      <color theme="9" tint="0.79998168889431442"/>
      <name val="微软雅黑"/>
      <family val="2"/>
      <charset val="134"/>
    </font>
    <font>
      <b/>
      <u/>
      <sz val="20"/>
      <color theme="10"/>
      <name val="等线"/>
      <family val="3"/>
      <charset val="134"/>
      <scheme val="minor"/>
    </font>
    <font>
      <b/>
      <sz val="11"/>
      <color theme="0"/>
      <name val="等线"/>
      <family val="3"/>
      <charset val="134"/>
      <scheme val="minor"/>
    </font>
    <font>
      <sz val="11"/>
      <name val="等线"/>
      <family val="2"/>
      <scheme val="minor"/>
    </font>
    <font>
      <b/>
      <u/>
      <sz val="26"/>
      <color theme="10"/>
      <name val="微软雅黑"/>
      <family val="2"/>
      <charset val="134"/>
    </font>
    <font>
      <b/>
      <sz val="10"/>
      <color theme="8" tint="-0.249977111117893"/>
      <name val="微软雅黑"/>
      <family val="2"/>
      <charset val="134"/>
    </font>
    <font>
      <u/>
      <sz val="11"/>
      <color theme="1"/>
      <name val="微软雅黑"/>
      <family val="2"/>
      <charset val="134"/>
    </font>
    <font>
      <sz val="8"/>
      <color rgb="FFFF0000"/>
      <name val="微软雅黑"/>
      <family val="2"/>
      <charset val="134"/>
    </font>
    <font>
      <b/>
      <sz val="18"/>
      <color rgb="FFFFFF00"/>
      <name val="微软雅黑"/>
      <family val="2"/>
      <charset val="134"/>
    </font>
    <font>
      <sz val="16"/>
      <name val="微软雅黑"/>
      <family val="2"/>
      <charset val="134"/>
    </font>
    <font>
      <i/>
      <sz val="12"/>
      <color theme="1"/>
      <name val="微软雅黑"/>
      <family val="2"/>
      <charset val="134"/>
    </font>
    <font>
      <sz val="11"/>
      <color rgb="FFFF0000"/>
      <name val="等线"/>
      <family val="2"/>
      <charset val="134"/>
      <scheme val="minor"/>
    </font>
    <font>
      <b/>
      <sz val="11"/>
      <color theme="7" tint="0.59999389629810485"/>
      <name val="微软雅黑"/>
      <family val="2"/>
      <charset val="134"/>
    </font>
    <font>
      <sz val="14"/>
      <color theme="0"/>
      <name val="微软雅黑"/>
      <family val="2"/>
      <charset val="134"/>
    </font>
    <font>
      <sz val="12"/>
      <color theme="0"/>
      <name val="微软雅黑"/>
      <family val="2"/>
      <charset val="134"/>
    </font>
    <font>
      <sz val="11"/>
      <name val="等线"/>
      <family val="2"/>
      <charset val="134"/>
      <scheme val="minor"/>
    </font>
    <font>
      <sz val="11"/>
      <color rgb="FFFF0000"/>
      <name val="等线"/>
      <family val="3"/>
      <charset val="134"/>
      <scheme val="minor"/>
    </font>
    <font>
      <b/>
      <sz val="11"/>
      <color rgb="FFFF0000"/>
      <name val="等线"/>
      <family val="3"/>
      <charset val="134"/>
      <scheme val="minor"/>
    </font>
  </fonts>
  <fills count="25">
    <fill>
      <patternFill patternType="none"/>
    </fill>
    <fill>
      <patternFill patternType="gray125"/>
    </fill>
    <fill>
      <patternFill patternType="solid">
        <fgColor theme="9"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9" tint="0.79998168889431442"/>
        <bgColor rgb="FF000000"/>
      </patternFill>
    </fill>
    <fill>
      <patternFill patternType="solid">
        <fgColor theme="8" tint="0.59999389629810485"/>
        <bgColor indexed="64"/>
      </patternFill>
    </fill>
    <fill>
      <patternFill patternType="solid">
        <fgColor rgb="FFFFFF00"/>
        <bgColor indexed="64"/>
      </patternFill>
    </fill>
    <fill>
      <patternFill patternType="solid">
        <fgColor theme="4" tint="-0.249977111117893"/>
        <bgColor indexed="64"/>
      </patternFill>
    </fill>
    <fill>
      <patternFill patternType="solid">
        <fgColor theme="8" tint="0.39997558519241921"/>
        <bgColor indexed="64"/>
      </patternFill>
    </fill>
    <fill>
      <patternFill patternType="solid">
        <fgColor theme="7"/>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4"/>
        <bgColor indexed="64"/>
      </patternFill>
    </fill>
    <fill>
      <patternFill patternType="solid">
        <fgColor theme="2" tint="-9.9978637043366805E-2"/>
        <bgColor indexed="64"/>
      </patternFill>
    </fill>
    <fill>
      <patternFill patternType="solid">
        <fgColor theme="0" tint="-0.34998626667073579"/>
        <bgColor indexed="64"/>
      </patternFill>
    </fill>
  </fills>
  <borders count="1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auto="1"/>
      </right>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1"/>
      </left>
      <right style="thin">
        <color theme="1"/>
      </right>
      <top style="thin">
        <color theme="1"/>
      </top>
      <bottom style="thin">
        <color indexed="64"/>
      </bottom>
      <diagonal/>
    </border>
    <border>
      <left style="thin">
        <color auto="1"/>
      </left>
      <right style="thin">
        <color auto="1"/>
      </right>
      <top style="thin">
        <color auto="1"/>
      </top>
      <bottom/>
      <diagonal/>
    </border>
    <border>
      <left/>
      <right/>
      <top style="thin">
        <color auto="1"/>
      </top>
      <bottom style="thin">
        <color auto="1"/>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theme="1"/>
      </left>
      <right style="thin">
        <color theme="1"/>
      </right>
      <top style="thin">
        <color theme="1"/>
      </top>
      <bottom/>
      <diagonal/>
    </border>
    <border>
      <left/>
      <right style="thin">
        <color theme="2" tint="-0.499984740745262"/>
      </right>
      <top style="thin">
        <color theme="2" tint="-0.499984740745262"/>
      </top>
      <bottom style="thin">
        <color theme="2" tint="-0.499984740745262"/>
      </bottom>
      <diagonal/>
    </border>
    <border>
      <left style="medium">
        <color theme="1"/>
      </left>
      <right style="thin">
        <color auto="1"/>
      </right>
      <top style="medium">
        <color theme="1"/>
      </top>
      <bottom style="thin">
        <color auto="1"/>
      </bottom>
      <diagonal/>
    </border>
    <border>
      <left style="thin">
        <color auto="1"/>
      </left>
      <right style="medium">
        <color theme="1"/>
      </right>
      <top style="medium">
        <color theme="1"/>
      </top>
      <bottom style="thin">
        <color auto="1"/>
      </bottom>
      <diagonal/>
    </border>
    <border>
      <left style="thin">
        <color theme="1"/>
      </left>
      <right/>
      <top style="thin">
        <color theme="1"/>
      </top>
      <bottom style="thin">
        <color theme="1"/>
      </bottom>
      <diagonal/>
    </border>
    <border>
      <left style="thin">
        <color auto="1"/>
      </left>
      <right style="thin">
        <color auto="1"/>
      </right>
      <top style="medium">
        <color theme="1"/>
      </top>
      <bottom style="thin">
        <color auto="1"/>
      </bottom>
      <diagonal/>
    </border>
    <border>
      <left style="thin">
        <color theme="1"/>
      </left>
      <right style="thin">
        <color theme="1"/>
      </right>
      <top style="medium">
        <color theme="1"/>
      </top>
      <bottom style="thin">
        <color indexed="64"/>
      </bottom>
      <diagonal/>
    </border>
    <border>
      <left/>
      <right style="thin">
        <color indexed="64"/>
      </right>
      <top style="medium">
        <color theme="1"/>
      </top>
      <bottom style="thin">
        <color indexed="64"/>
      </bottom>
      <diagonal/>
    </border>
    <border>
      <left style="medium">
        <color theme="1"/>
      </left>
      <right style="thin">
        <color auto="1"/>
      </right>
      <top style="thin">
        <color auto="1"/>
      </top>
      <bottom style="thin">
        <color auto="1"/>
      </bottom>
      <diagonal/>
    </border>
    <border>
      <left style="thin">
        <color auto="1"/>
      </left>
      <right style="medium">
        <color theme="1"/>
      </right>
      <top style="thin">
        <color auto="1"/>
      </top>
      <bottom style="thin">
        <color auto="1"/>
      </bottom>
      <diagonal/>
    </border>
    <border>
      <left style="thin">
        <color theme="1"/>
      </left>
      <right/>
      <top/>
      <bottom/>
      <diagonal/>
    </border>
    <border>
      <left style="thin">
        <color theme="1"/>
      </left>
      <right/>
      <top/>
      <bottom style="thin">
        <color theme="1"/>
      </bottom>
      <diagonal/>
    </border>
    <border>
      <left style="medium">
        <color theme="1"/>
      </left>
      <right style="thin">
        <color auto="1"/>
      </right>
      <top style="thin">
        <color auto="1"/>
      </top>
      <bottom style="medium">
        <color theme="1"/>
      </bottom>
      <diagonal/>
    </border>
    <border>
      <left style="thin">
        <color indexed="64"/>
      </left>
      <right style="thin">
        <color indexed="64"/>
      </right>
      <top style="thin">
        <color indexed="64"/>
      </top>
      <bottom style="medium">
        <color theme="1"/>
      </bottom>
      <diagonal/>
    </border>
    <border>
      <left style="thin">
        <color auto="1"/>
      </left>
      <right style="medium">
        <color theme="1"/>
      </right>
      <top style="thin">
        <color auto="1"/>
      </top>
      <bottom style="medium">
        <color theme="1"/>
      </bottom>
      <diagonal/>
    </border>
    <border>
      <left style="thin">
        <color theme="1"/>
      </left>
      <right/>
      <top style="thin">
        <color theme="1"/>
      </top>
      <bottom/>
      <diagonal/>
    </border>
    <border>
      <left/>
      <right style="thin">
        <color theme="1"/>
      </right>
      <top style="thin">
        <color theme="1"/>
      </top>
      <bottom/>
      <diagonal/>
    </border>
    <border>
      <left style="thin">
        <color auto="1"/>
      </left>
      <right style="thin">
        <color auto="1"/>
      </right>
      <top style="medium">
        <color theme="1"/>
      </top>
      <bottom/>
      <diagonal/>
    </border>
    <border>
      <left/>
      <right/>
      <top style="medium">
        <color theme="1"/>
      </top>
      <bottom style="thin">
        <color indexed="64"/>
      </bottom>
      <diagonal/>
    </border>
    <border>
      <left style="medium">
        <color theme="1"/>
      </left>
      <right style="thin">
        <color indexed="64"/>
      </right>
      <top style="thin">
        <color indexed="64"/>
      </top>
      <bottom/>
      <diagonal/>
    </border>
    <border>
      <left style="thin">
        <color indexed="64"/>
      </left>
      <right style="medium">
        <color theme="1"/>
      </right>
      <top style="thin">
        <color indexed="64"/>
      </top>
      <bottom/>
      <diagonal/>
    </border>
    <border>
      <left style="thin">
        <color auto="1"/>
      </left>
      <right style="thin">
        <color auto="1"/>
      </right>
      <top style="medium">
        <color auto="1"/>
      </top>
      <bottom style="thin">
        <color auto="1"/>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auto="1"/>
      </left>
      <right style="medium">
        <color auto="1"/>
      </right>
      <top style="thin">
        <color auto="1"/>
      </top>
      <bottom style="thin">
        <color auto="1"/>
      </bottom>
      <diagonal/>
    </border>
    <border>
      <left style="medium">
        <color indexed="64"/>
      </left>
      <right style="thin">
        <color indexed="64"/>
      </right>
      <top style="thin">
        <color indexed="64"/>
      </top>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indexed="64"/>
      </left>
      <right style="medium">
        <color indexed="64"/>
      </right>
      <top style="thin">
        <color indexed="64"/>
      </top>
      <bottom/>
      <diagonal/>
    </border>
    <border>
      <left style="thin">
        <color auto="1"/>
      </left>
      <right style="medium">
        <color auto="1"/>
      </right>
      <top/>
      <bottom style="thin">
        <color auto="1"/>
      </bottom>
      <diagonal/>
    </border>
    <border>
      <left style="medium">
        <color auto="1"/>
      </left>
      <right style="thin">
        <color auto="1"/>
      </right>
      <top style="medium">
        <color auto="1"/>
      </top>
      <bottom/>
      <diagonal/>
    </border>
    <border>
      <left style="thin">
        <color auto="1"/>
      </left>
      <right style="medium">
        <color indexed="64"/>
      </right>
      <top style="medium">
        <color indexed="64"/>
      </top>
      <bottom/>
      <diagonal/>
    </border>
    <border>
      <left style="medium">
        <color indexed="64"/>
      </left>
      <right/>
      <top style="thin">
        <color auto="1"/>
      </top>
      <bottom style="medium">
        <color indexed="64"/>
      </bottom>
      <diagonal/>
    </border>
    <border>
      <left/>
      <right style="medium">
        <color indexed="64"/>
      </right>
      <top style="thin">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auto="1"/>
      </left>
      <right style="thin">
        <color auto="1"/>
      </right>
      <top style="medium">
        <color indexed="64"/>
      </top>
      <bottom/>
      <diagonal/>
    </border>
    <border>
      <left style="medium">
        <color auto="1"/>
      </left>
      <right style="thin">
        <color auto="1"/>
      </right>
      <top/>
      <bottom/>
      <diagonal/>
    </border>
    <border>
      <left style="thin">
        <color auto="1"/>
      </left>
      <right style="medium">
        <color indexed="64"/>
      </right>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auto="1"/>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right/>
      <top style="thin">
        <color theme="1"/>
      </top>
      <bottom/>
      <diagonal/>
    </border>
    <border>
      <left style="thin">
        <color rgb="FF000000"/>
      </left>
      <right/>
      <top style="thin">
        <color rgb="FF000000"/>
      </top>
      <bottom style="thin">
        <color rgb="FF000000"/>
      </bottom>
      <diagonal/>
    </border>
    <border>
      <left style="thin">
        <color theme="1"/>
      </left>
      <right/>
      <top style="medium">
        <color indexed="64"/>
      </top>
      <bottom/>
      <diagonal/>
    </border>
    <border>
      <left/>
      <right style="thin">
        <color theme="1"/>
      </right>
      <top style="medium">
        <color indexed="64"/>
      </top>
      <bottom/>
      <diagonal/>
    </border>
    <border>
      <left style="medium">
        <color indexed="64"/>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medium">
        <color indexed="64"/>
      </right>
      <top style="thin">
        <color rgb="FF000000"/>
      </top>
      <bottom/>
      <diagonal/>
    </border>
    <border>
      <left style="thin">
        <color theme="1"/>
      </left>
      <right/>
      <top/>
      <bottom style="thin">
        <color indexed="64"/>
      </bottom>
      <diagonal/>
    </border>
    <border>
      <left/>
      <right/>
      <top/>
      <bottom style="thin">
        <color indexed="64"/>
      </bottom>
      <diagonal/>
    </border>
    <border>
      <left/>
      <right style="thin">
        <color theme="1"/>
      </right>
      <top/>
      <bottom style="thin">
        <color indexed="64"/>
      </bottom>
      <diagonal/>
    </border>
    <border>
      <left style="medium">
        <color indexed="64"/>
      </left>
      <right style="thin">
        <color rgb="FF000000"/>
      </right>
      <top/>
      <bottom/>
      <diagonal/>
    </border>
    <border>
      <left style="thin">
        <color rgb="FF000000"/>
      </left>
      <right/>
      <top style="thin">
        <color rgb="FF000000"/>
      </top>
      <bottom/>
      <diagonal/>
    </border>
    <border>
      <left/>
      <right/>
      <top style="thin">
        <color rgb="FF000000"/>
      </top>
      <bottom/>
      <diagonal/>
    </border>
    <border>
      <left style="medium">
        <color indexed="64"/>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bottom style="medium">
        <color indexed="64"/>
      </bottom>
      <diagonal/>
    </border>
    <border>
      <left/>
      <right/>
      <top/>
      <bottom style="medium">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style="thin">
        <color theme="1"/>
      </left>
      <right style="thin">
        <color theme="1"/>
      </right>
      <top style="thin">
        <color theme="1"/>
      </top>
      <bottom style="thin">
        <color theme="1"/>
      </bottom>
      <diagonal/>
    </border>
    <border>
      <left/>
      <right style="thin">
        <color theme="1"/>
      </right>
      <top style="thin">
        <color indexed="64"/>
      </top>
      <bottom style="thin">
        <color theme="1"/>
      </bottom>
      <diagonal/>
    </border>
    <border>
      <left style="thin">
        <color theme="1"/>
      </left>
      <right style="thin">
        <color theme="1"/>
      </right>
      <top style="thin">
        <color indexed="64"/>
      </top>
      <bottom style="thin">
        <color theme="1"/>
      </bottom>
      <diagonal/>
    </border>
    <border>
      <left style="thin">
        <color theme="1"/>
      </left>
      <right style="thin">
        <color indexed="64"/>
      </right>
      <top style="thin">
        <color indexed="64"/>
      </top>
      <bottom style="thin">
        <color theme="1"/>
      </bottom>
      <diagonal/>
    </border>
    <border>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style="thin">
        <color theme="1"/>
      </left>
      <right style="thin">
        <color theme="1"/>
      </right>
      <top/>
      <bottom/>
      <diagonal/>
    </border>
    <border>
      <left style="thin">
        <color theme="1"/>
      </left>
      <right style="thin">
        <color theme="1"/>
      </right>
      <top style="thin">
        <color theme="0"/>
      </top>
      <bottom style="thin">
        <color theme="0"/>
      </bottom>
      <diagonal/>
    </border>
    <border>
      <left style="thin">
        <color theme="1"/>
      </left>
      <right style="thin">
        <color theme="1"/>
      </right>
      <top/>
      <bottom style="thin">
        <color theme="1"/>
      </bottom>
      <diagonal/>
    </border>
    <border>
      <left style="thin">
        <color theme="1"/>
      </left>
      <right style="thin">
        <color theme="1"/>
      </right>
      <top style="thin">
        <color theme="0"/>
      </top>
      <bottom style="thin">
        <color theme="1"/>
      </bottom>
      <diagonal/>
    </border>
    <border>
      <left/>
      <right style="thin">
        <color indexed="64"/>
      </right>
      <top/>
      <bottom style="thin">
        <color theme="1"/>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theme="1"/>
      </left>
      <right style="thin">
        <color theme="1"/>
      </right>
      <top style="medium">
        <color theme="1"/>
      </top>
      <bottom style="medium">
        <color theme="1"/>
      </bottom>
      <diagonal/>
    </border>
    <border>
      <left style="thin">
        <color theme="1"/>
      </left>
      <right style="thin">
        <color theme="1"/>
      </right>
      <top style="medium">
        <color theme="1"/>
      </top>
      <bottom style="medium">
        <color theme="1"/>
      </bottom>
      <diagonal/>
    </border>
    <border>
      <left style="thin">
        <color theme="1"/>
      </left>
      <right style="medium">
        <color theme="1"/>
      </right>
      <top style="medium">
        <color theme="1"/>
      </top>
      <bottom style="medium">
        <color theme="1"/>
      </bottom>
      <diagonal/>
    </border>
    <border>
      <left style="thin">
        <color theme="1"/>
      </left>
      <right style="thin">
        <color indexed="64"/>
      </right>
      <top style="thin">
        <color theme="1"/>
      </top>
      <bottom/>
      <diagonal/>
    </border>
    <border>
      <left style="thin">
        <color theme="1"/>
      </left>
      <right style="thin">
        <color indexed="64"/>
      </right>
      <top style="thin">
        <color indexed="64"/>
      </top>
      <bottom/>
      <diagonal/>
    </border>
    <border>
      <left style="thin">
        <color theme="1"/>
      </left>
      <right style="thin">
        <color indexed="64"/>
      </right>
      <top/>
      <bottom/>
      <diagonal/>
    </border>
    <border>
      <left style="thin">
        <color theme="1"/>
      </left>
      <right/>
      <top style="thin">
        <color theme="0"/>
      </top>
      <bottom style="thin">
        <color theme="1"/>
      </bottom>
      <diagonal/>
    </border>
    <border>
      <left style="thin">
        <color theme="1"/>
      </left>
      <right/>
      <top style="thin">
        <color theme="0"/>
      </top>
      <bottom style="thin">
        <color theme="0"/>
      </bottom>
      <diagonal/>
    </border>
  </borders>
  <cellStyleXfs count="8">
    <xf numFmtId="0" fontId="0" fillId="0" borderId="0">
      <alignment vertical="center"/>
    </xf>
    <xf numFmtId="9" fontId="1" fillId="0" borderId="0" applyFont="0" applyFill="0" applyBorder="0" applyAlignment="0" applyProtection="0">
      <alignment vertical="center"/>
    </xf>
    <xf numFmtId="0" fontId="6" fillId="0" borderId="0"/>
    <xf numFmtId="0" fontId="7" fillId="0" borderId="0"/>
    <xf numFmtId="177" fontId="6" fillId="0" borderId="0" applyFont="0" applyFill="0" applyBorder="0" applyAlignment="0" applyProtection="0"/>
    <xf numFmtId="0" fontId="33" fillId="0" borderId="0" applyNumberFormat="0" applyFill="0" applyBorder="0" applyAlignment="0" applyProtection="0"/>
    <xf numFmtId="9" fontId="6" fillId="0" borderId="0" applyFont="0" applyFill="0" applyBorder="0" applyAlignment="0" applyProtection="0"/>
    <xf numFmtId="9" fontId="6" fillId="0" borderId="0" applyFont="0" applyFill="0" applyBorder="0" applyAlignment="0" applyProtection="0">
      <alignment vertical="center"/>
    </xf>
  </cellStyleXfs>
  <cellXfs count="762">
    <xf numFmtId="0" fontId="0" fillId="0" borderId="0" xfId="0">
      <alignment vertical="center"/>
    </xf>
    <xf numFmtId="10" fontId="0" fillId="0" borderId="0" xfId="0" applyNumberFormat="1">
      <alignment vertical="center"/>
    </xf>
    <xf numFmtId="0" fontId="0" fillId="0" borderId="1" xfId="0" applyBorder="1">
      <alignment vertical="center"/>
    </xf>
    <xf numFmtId="10" fontId="0" fillId="0" borderId="1" xfId="0" applyNumberFormat="1" applyBorder="1">
      <alignment vertical="center"/>
    </xf>
    <xf numFmtId="0" fontId="0" fillId="0" borderId="1" xfId="0" applyBorder="1" applyAlignment="1">
      <alignment horizontal="center" vertical="center"/>
    </xf>
    <xf numFmtId="10" fontId="0" fillId="0" borderId="1" xfId="0" applyNumberFormat="1" applyBorder="1" applyAlignment="1">
      <alignment horizontal="center" vertical="center"/>
    </xf>
    <xf numFmtId="0" fontId="0" fillId="0" borderId="1" xfId="0" applyFill="1" applyBorder="1" applyAlignment="1">
      <alignment horizontal="center" vertical="center"/>
    </xf>
    <xf numFmtId="0" fontId="4" fillId="2" borderId="1" xfId="2" applyFont="1" applyFill="1" applyBorder="1" applyAlignment="1" applyProtection="1">
      <alignment horizontal="center" vertical="center"/>
      <protection hidden="1"/>
    </xf>
    <xf numFmtId="0" fontId="8" fillId="2" borderId="1" xfId="3" applyFont="1" applyFill="1" applyBorder="1" applyAlignment="1" applyProtection="1">
      <alignment horizontal="center" vertical="center" wrapText="1"/>
      <protection hidden="1"/>
    </xf>
    <xf numFmtId="0" fontId="13" fillId="2" borderId="0" xfId="0" applyFont="1" applyFill="1" applyAlignment="1" applyProtection="1">
      <alignment vertical="center"/>
      <protection hidden="1"/>
    </xf>
    <xf numFmtId="0" fontId="12" fillId="2" borderId="0" xfId="0" applyFont="1" applyFill="1" applyAlignment="1" applyProtection="1">
      <alignment horizontal="left" vertical="center"/>
      <protection hidden="1"/>
    </xf>
    <xf numFmtId="0" fontId="10" fillId="2" borderId="4" xfId="0" applyFont="1" applyFill="1" applyBorder="1" applyAlignment="1" applyProtection="1">
      <alignment horizontal="center" vertical="center"/>
      <protection hidden="1"/>
    </xf>
    <xf numFmtId="0" fontId="11" fillId="2" borderId="1" xfId="0" applyFont="1" applyFill="1" applyBorder="1" applyAlignment="1" applyProtection="1">
      <alignment horizontal="center" vertical="center"/>
      <protection hidden="1"/>
    </xf>
    <xf numFmtId="0" fontId="2" fillId="2" borderId="0" xfId="0" applyFont="1" applyFill="1" applyBorder="1" applyAlignment="1" applyProtection="1">
      <alignment horizontal="right" vertical="center"/>
      <protection hidden="1"/>
    </xf>
    <xf numFmtId="0" fontId="20" fillId="2" borderId="0" xfId="0" applyFont="1" applyFill="1" applyAlignment="1" applyProtection="1">
      <alignment horizontal="center" vertical="center"/>
      <protection hidden="1"/>
    </xf>
    <xf numFmtId="179" fontId="21" fillId="2" borderId="0" xfId="0" applyNumberFormat="1" applyFont="1" applyFill="1" applyBorder="1" applyAlignment="1" applyProtection="1">
      <alignment horizontal="right" vertical="center"/>
      <protection hidden="1"/>
    </xf>
    <xf numFmtId="179" fontId="23" fillId="2" borderId="0" xfId="0" applyNumberFormat="1" applyFont="1" applyFill="1" applyBorder="1" applyAlignment="1" applyProtection="1">
      <alignment horizontal="center" vertical="center"/>
      <protection hidden="1"/>
    </xf>
    <xf numFmtId="0" fontId="25" fillId="2" borderId="0" xfId="0" applyFont="1" applyFill="1" applyAlignment="1" applyProtection="1">
      <alignment horizontal="left"/>
      <protection hidden="1"/>
    </xf>
    <xf numFmtId="0" fontId="25" fillId="2" borderId="0" xfId="0" applyFont="1" applyFill="1" applyBorder="1" applyAlignment="1" applyProtection="1">
      <alignment horizontal="left"/>
      <protection hidden="1"/>
    </xf>
    <xf numFmtId="0" fontId="10" fillId="2" borderId="1" xfId="0" applyFont="1" applyFill="1" applyBorder="1" applyAlignment="1" applyProtection="1">
      <alignment horizontal="center" vertical="center"/>
      <protection hidden="1"/>
    </xf>
    <xf numFmtId="10" fontId="0" fillId="0" borderId="0" xfId="0" applyNumberFormat="1" applyAlignment="1">
      <alignment horizontal="left" vertical="center"/>
    </xf>
    <xf numFmtId="181" fontId="10" fillId="3" borderId="1" xfId="1" applyNumberFormat="1" applyFont="1" applyFill="1" applyBorder="1" applyAlignment="1" applyProtection="1">
      <alignment horizontal="center" vertical="center"/>
      <protection hidden="1"/>
    </xf>
    <xf numFmtId="0" fontId="15" fillId="2" borderId="4" xfId="0" applyFont="1" applyFill="1" applyBorder="1" applyAlignment="1" applyProtection="1">
      <alignment horizontal="center" vertical="center"/>
      <protection hidden="1"/>
    </xf>
    <xf numFmtId="0" fontId="11" fillId="2" borderId="6" xfId="0" applyFont="1" applyFill="1" applyBorder="1" applyAlignment="1" applyProtection="1">
      <alignment horizontal="center" vertical="center" wrapText="1"/>
      <protection hidden="1"/>
    </xf>
    <xf numFmtId="0" fontId="11" fillId="2" borderId="4" xfId="0" applyFont="1" applyFill="1" applyBorder="1" applyAlignment="1" applyProtection="1">
      <alignment horizontal="center" vertical="center" wrapText="1"/>
      <protection hidden="1"/>
    </xf>
    <xf numFmtId="0" fontId="11" fillId="2" borderId="1" xfId="0" applyFont="1" applyFill="1" applyBorder="1" applyAlignment="1" applyProtection="1">
      <alignment horizontal="center" vertical="center" wrapText="1"/>
      <protection hidden="1"/>
    </xf>
    <xf numFmtId="0" fontId="11" fillId="4" borderId="4" xfId="0" applyFont="1" applyFill="1" applyBorder="1" applyAlignment="1" applyProtection="1">
      <alignment horizontal="center" vertical="center" wrapText="1"/>
      <protection hidden="1"/>
    </xf>
    <xf numFmtId="179" fontId="28" fillId="2" borderId="0" xfId="0" applyNumberFormat="1" applyFont="1" applyFill="1" applyBorder="1" applyAlignment="1" applyProtection="1">
      <alignment horizontal="right" vertical="center"/>
      <protection hidden="1"/>
    </xf>
    <xf numFmtId="0" fontId="18" fillId="2" borderId="0" xfId="0" applyFont="1" applyFill="1" applyBorder="1" applyAlignment="1" applyProtection="1">
      <alignment vertical="center" wrapText="1"/>
      <protection hidden="1"/>
    </xf>
    <xf numFmtId="0" fontId="13" fillId="2" borderId="8" xfId="0" applyFont="1" applyFill="1" applyBorder="1" applyAlignment="1" applyProtection="1">
      <alignment horizontal="center" vertical="center" wrapText="1"/>
      <protection hidden="1"/>
    </xf>
    <xf numFmtId="10" fontId="11" fillId="2" borderId="1" xfId="1" applyNumberFormat="1" applyFont="1" applyFill="1" applyBorder="1" applyAlignment="1" applyProtection="1">
      <alignment horizontal="center" vertical="center"/>
      <protection hidden="1"/>
    </xf>
    <xf numFmtId="0" fontId="15" fillId="2" borderId="0" xfId="0" applyFont="1" applyFill="1" applyBorder="1" applyAlignment="1" applyProtection="1">
      <alignment horizontal="center" vertical="center"/>
      <protection hidden="1"/>
    </xf>
    <xf numFmtId="181" fontId="32" fillId="3" borderId="1" xfId="1" applyNumberFormat="1" applyFont="1" applyFill="1" applyBorder="1" applyAlignment="1" applyProtection="1">
      <alignment horizontal="center" vertical="center" wrapText="1"/>
      <protection hidden="1"/>
    </xf>
    <xf numFmtId="0" fontId="10" fillId="2" borderId="0" xfId="0" applyFont="1" applyFill="1" applyBorder="1" applyAlignment="1" applyProtection="1">
      <alignment horizontal="center" vertical="center"/>
      <protection hidden="1"/>
    </xf>
    <xf numFmtId="180" fontId="15" fillId="2" borderId="12" xfId="0" applyNumberFormat="1" applyFont="1" applyFill="1" applyBorder="1" applyAlignment="1" applyProtection="1">
      <alignment horizontal="center" vertical="center"/>
      <protection hidden="1"/>
    </xf>
    <xf numFmtId="10" fontId="15" fillId="2" borderId="10" xfId="0" applyNumberFormat="1" applyFont="1" applyFill="1" applyBorder="1" applyAlignment="1" applyProtection="1">
      <alignment horizontal="center" vertical="center"/>
      <protection hidden="1"/>
    </xf>
    <xf numFmtId="0" fontId="11" fillId="8" borderId="1" xfId="0" applyFont="1" applyFill="1" applyBorder="1" applyAlignment="1" applyProtection="1">
      <alignment horizontal="center" vertical="center" wrapText="1"/>
      <protection hidden="1"/>
    </xf>
    <xf numFmtId="0" fontId="10" fillId="2" borderId="1" xfId="0" applyFont="1" applyFill="1" applyBorder="1" applyAlignment="1" applyProtection="1">
      <alignment horizontal="center" vertical="center" wrapText="1"/>
      <protection hidden="1"/>
    </xf>
    <xf numFmtId="0" fontId="2" fillId="2" borderId="0" xfId="0" applyFont="1" applyFill="1" applyAlignment="1" applyProtection="1">
      <alignment horizontal="left" vertical="center"/>
      <protection hidden="1"/>
    </xf>
    <xf numFmtId="0" fontId="13" fillId="2" borderId="0" xfId="0" applyFont="1" applyFill="1" applyProtection="1">
      <alignment vertical="center"/>
      <protection hidden="1"/>
    </xf>
    <xf numFmtId="9" fontId="13" fillId="2" borderId="0" xfId="0" applyNumberFormat="1" applyFont="1" applyFill="1" applyAlignment="1" applyProtection="1">
      <alignment horizontal="left" vertical="center"/>
      <protection hidden="1"/>
    </xf>
    <xf numFmtId="10" fontId="13" fillId="2" borderId="1" xfId="1" applyNumberFormat="1" applyFont="1" applyFill="1" applyBorder="1" applyAlignment="1" applyProtection="1">
      <alignment horizontal="center" vertical="center"/>
      <protection hidden="1"/>
    </xf>
    <xf numFmtId="182" fontId="4" fillId="2" borderId="1" xfId="1" applyNumberFormat="1" applyFont="1" applyFill="1" applyBorder="1" applyAlignment="1" applyProtection="1">
      <alignment horizontal="center" vertical="center"/>
      <protection hidden="1"/>
    </xf>
    <xf numFmtId="183" fontId="4" fillId="3" borderId="1" xfId="0" applyNumberFormat="1" applyFont="1" applyFill="1" applyBorder="1" applyAlignment="1" applyProtection="1">
      <alignment horizontal="center" vertical="center"/>
      <protection hidden="1"/>
    </xf>
    <xf numFmtId="180" fontId="13" fillId="2" borderId="1" xfId="1" applyNumberFormat="1" applyFont="1" applyFill="1" applyBorder="1" applyAlignment="1" applyProtection="1">
      <alignment horizontal="center" vertical="center"/>
      <protection hidden="1"/>
    </xf>
    <xf numFmtId="1" fontId="13" fillId="2" borderId="1" xfId="0" applyNumberFormat="1" applyFont="1" applyFill="1" applyBorder="1" applyAlignment="1" applyProtection="1">
      <alignment horizontal="center" vertical="center"/>
      <protection hidden="1"/>
    </xf>
    <xf numFmtId="0" fontId="13" fillId="2" borderId="0" xfId="0" applyFont="1" applyFill="1" applyBorder="1" applyAlignment="1" applyProtection="1">
      <alignment horizontal="center" vertical="center"/>
      <protection hidden="1"/>
    </xf>
    <xf numFmtId="180" fontId="13" fillId="2" borderId="0" xfId="1" applyNumberFormat="1" applyFont="1" applyFill="1" applyBorder="1" applyAlignment="1" applyProtection="1">
      <alignment horizontal="center" vertical="center"/>
      <protection hidden="1"/>
    </xf>
    <xf numFmtId="10" fontId="13" fillId="2" borderId="0" xfId="1" applyNumberFormat="1" applyFont="1" applyFill="1" applyBorder="1" applyAlignment="1" applyProtection="1">
      <alignment horizontal="center" vertical="center"/>
      <protection hidden="1"/>
    </xf>
    <xf numFmtId="1" fontId="13" fillId="2" borderId="0" xfId="0" applyNumberFormat="1" applyFont="1" applyFill="1" applyBorder="1" applyAlignment="1" applyProtection="1">
      <alignment horizontal="center" vertical="center"/>
      <protection hidden="1"/>
    </xf>
    <xf numFmtId="0" fontId="13" fillId="2" borderId="0" xfId="0" applyFont="1" applyFill="1" applyBorder="1" applyProtection="1">
      <alignment vertical="center"/>
      <protection hidden="1"/>
    </xf>
    <xf numFmtId="180" fontId="13" fillId="2" borderId="1" xfId="0" applyNumberFormat="1" applyFont="1" applyFill="1" applyBorder="1" applyAlignment="1" applyProtection="1">
      <alignment horizontal="center" vertical="center"/>
      <protection hidden="1"/>
    </xf>
    <xf numFmtId="0" fontId="13" fillId="2" borderId="1" xfId="0" applyFont="1" applyFill="1" applyBorder="1" applyAlignment="1" applyProtection="1">
      <alignment horizontal="center" vertical="center"/>
      <protection hidden="1"/>
    </xf>
    <xf numFmtId="180" fontId="4" fillId="3" borderId="1" xfId="0" applyNumberFormat="1" applyFont="1" applyFill="1" applyBorder="1" applyAlignment="1" applyProtection="1">
      <alignment horizontal="center" vertical="center"/>
      <protection hidden="1"/>
    </xf>
    <xf numFmtId="1" fontId="13" fillId="2" borderId="5" xfId="0" applyNumberFormat="1" applyFont="1" applyFill="1" applyBorder="1" applyAlignment="1" applyProtection="1">
      <alignment horizontal="center" vertical="center"/>
      <protection hidden="1"/>
    </xf>
    <xf numFmtId="0" fontId="4" fillId="2" borderId="1" xfId="2" applyFont="1" applyFill="1" applyBorder="1" applyAlignment="1" applyProtection="1">
      <alignment horizontal="center" vertical="center" wrapText="1"/>
      <protection hidden="1"/>
    </xf>
    <xf numFmtId="0" fontId="34" fillId="2" borderId="0" xfId="5" applyFont="1" applyFill="1" applyAlignment="1" applyProtection="1">
      <alignment horizontal="center" vertical="center"/>
      <protection locked="0"/>
    </xf>
    <xf numFmtId="0" fontId="37" fillId="6" borderId="1" xfId="0" applyFont="1" applyFill="1" applyBorder="1" applyAlignment="1" applyProtection="1">
      <alignment horizontal="center" vertical="center"/>
      <protection hidden="1"/>
    </xf>
    <xf numFmtId="0" fontId="37" fillId="6" borderId="4" xfId="0" applyFont="1" applyFill="1" applyBorder="1" applyAlignment="1" applyProtection="1">
      <alignment horizontal="center" vertical="center"/>
      <protection hidden="1"/>
    </xf>
    <xf numFmtId="0" fontId="0" fillId="0" borderId="0" xfId="0" applyFill="1">
      <alignment vertical="center"/>
    </xf>
    <xf numFmtId="0" fontId="2" fillId="0" borderId="0" xfId="0" applyFont="1" applyFill="1" applyAlignment="1" applyProtection="1">
      <alignment horizontal="left" vertical="center" wrapText="1"/>
      <protection hidden="1"/>
    </xf>
    <xf numFmtId="0" fontId="13" fillId="10" borderId="0" xfId="0" applyFont="1" applyFill="1" applyAlignment="1" applyProtection="1">
      <alignment vertical="center"/>
      <protection hidden="1"/>
    </xf>
    <xf numFmtId="0" fontId="0" fillId="0" borderId="0" xfId="0" applyFont="1">
      <alignment vertical="center"/>
    </xf>
    <xf numFmtId="0" fontId="38" fillId="10" borderId="1" xfId="0" applyFont="1" applyFill="1" applyBorder="1" applyAlignment="1" applyProtection="1">
      <alignment horizontal="center" vertical="center"/>
      <protection hidden="1"/>
    </xf>
    <xf numFmtId="0" fontId="35" fillId="6" borderId="1" xfId="0" applyFont="1" applyFill="1" applyBorder="1" applyAlignment="1" applyProtection="1">
      <alignment horizontal="center" vertical="center" wrapText="1"/>
      <protection hidden="1"/>
    </xf>
    <xf numFmtId="10" fontId="13" fillId="2" borderId="7" xfId="1" applyNumberFormat="1" applyFont="1" applyFill="1" applyBorder="1" applyAlignment="1" applyProtection="1">
      <alignment horizontal="center" vertical="center"/>
      <protection hidden="1"/>
    </xf>
    <xf numFmtId="0" fontId="13" fillId="2" borderId="1" xfId="0" applyFont="1" applyFill="1" applyBorder="1" applyAlignment="1" applyProtection="1">
      <alignment horizontal="center" vertical="center"/>
      <protection hidden="1"/>
    </xf>
    <xf numFmtId="0" fontId="13" fillId="2" borderId="0" xfId="2" applyFont="1" applyFill="1" applyAlignment="1" applyProtection="1">
      <alignment vertical="center"/>
      <protection hidden="1"/>
    </xf>
    <xf numFmtId="0" fontId="13" fillId="2" borderId="0" xfId="2" applyFont="1" applyFill="1" applyAlignment="1" applyProtection="1">
      <alignment horizontal="center" vertical="center"/>
      <protection hidden="1"/>
    </xf>
    <xf numFmtId="10" fontId="13" fillId="2" borderId="0" xfId="2" applyNumberFormat="1" applyFont="1" applyFill="1" applyAlignment="1" applyProtection="1">
      <alignment horizontal="center" vertical="center"/>
      <protection hidden="1"/>
    </xf>
    <xf numFmtId="0" fontId="39" fillId="2" borderId="0" xfId="5" applyFont="1" applyFill="1" applyAlignment="1" applyProtection="1">
      <alignment vertical="center"/>
      <protection hidden="1"/>
    </xf>
    <xf numFmtId="0" fontId="40" fillId="2" borderId="0" xfId="2" applyFont="1" applyFill="1" applyAlignment="1" applyProtection="1">
      <alignment horizontal="left" vertical="center"/>
      <protection hidden="1"/>
    </xf>
    <xf numFmtId="0" fontId="41" fillId="2" borderId="0" xfId="2" applyFont="1" applyFill="1" applyBorder="1" applyAlignment="1" applyProtection="1">
      <alignment horizontal="left" vertical="center"/>
      <protection hidden="1"/>
    </xf>
    <xf numFmtId="179" fontId="43" fillId="2" borderId="0" xfId="2" applyNumberFormat="1" applyFont="1" applyFill="1" applyBorder="1" applyAlignment="1" applyProtection="1">
      <alignment horizontal="center" vertical="center"/>
      <protection hidden="1"/>
    </xf>
    <xf numFmtId="0" fontId="44" fillId="12" borderId="16" xfId="2" applyFont="1" applyFill="1" applyBorder="1" applyAlignment="1" applyProtection="1">
      <alignment horizontal="center" vertical="center" wrapText="1"/>
      <protection hidden="1"/>
    </xf>
    <xf numFmtId="0" fontId="10" fillId="2" borderId="14" xfId="2" applyFont="1" applyFill="1" applyBorder="1" applyAlignment="1" applyProtection="1">
      <alignment horizontal="center" vertical="center" wrapText="1"/>
      <protection hidden="1"/>
    </xf>
    <xf numFmtId="178" fontId="4" fillId="2" borderId="17" xfId="2" applyNumberFormat="1" applyFont="1" applyFill="1" applyBorder="1" applyAlignment="1" applyProtection="1">
      <alignment horizontal="center" vertical="center" wrapText="1"/>
      <protection hidden="1"/>
    </xf>
    <xf numFmtId="0" fontId="10" fillId="2" borderId="17" xfId="2" applyFont="1" applyFill="1" applyBorder="1" applyAlignment="1" applyProtection="1">
      <alignment horizontal="center" vertical="center" wrapText="1"/>
      <protection hidden="1"/>
    </xf>
    <xf numFmtId="0" fontId="10" fillId="3" borderId="17" xfId="2" applyFont="1" applyFill="1" applyBorder="1" applyAlignment="1" applyProtection="1">
      <alignment horizontal="center" vertical="center"/>
      <protection hidden="1"/>
    </xf>
    <xf numFmtId="181" fontId="10" fillId="2" borderId="17" xfId="2" applyNumberFormat="1" applyFont="1" applyFill="1" applyBorder="1" applyAlignment="1" applyProtection="1">
      <alignment horizontal="center" vertical="center" wrapText="1"/>
      <protection hidden="1"/>
    </xf>
    <xf numFmtId="0" fontId="13" fillId="2" borderId="18" xfId="2" applyFont="1" applyFill="1" applyBorder="1" applyAlignment="1" applyProtection="1">
      <alignment horizontal="center" vertical="center"/>
      <protection hidden="1"/>
    </xf>
    <xf numFmtId="0" fontId="13" fillId="2" borderId="19" xfId="2" applyFont="1" applyFill="1" applyBorder="1" applyAlignment="1" applyProtection="1">
      <alignment horizontal="center" vertical="center"/>
      <protection hidden="1"/>
    </xf>
    <xf numFmtId="0" fontId="13" fillId="2" borderId="0" xfId="2" applyFont="1" applyFill="1" applyBorder="1" applyAlignment="1" applyProtection="1">
      <alignment horizontal="center" vertical="center" wrapText="1"/>
      <protection hidden="1"/>
    </xf>
    <xf numFmtId="178" fontId="14" fillId="2" borderId="0" xfId="4" applyNumberFormat="1" applyFont="1" applyFill="1" applyBorder="1" applyAlignment="1" applyProtection="1">
      <alignment horizontal="left"/>
      <protection hidden="1"/>
    </xf>
    <xf numFmtId="49" fontId="11" fillId="2" borderId="1" xfId="2" applyNumberFormat="1" applyFont="1" applyFill="1" applyBorder="1" applyAlignment="1" applyProtection="1">
      <alignment horizontal="center" vertical="center"/>
      <protection hidden="1"/>
    </xf>
    <xf numFmtId="184" fontId="44" fillId="3" borderId="1" xfId="2" applyNumberFormat="1" applyFont="1" applyFill="1" applyBorder="1" applyAlignment="1" applyProtection="1">
      <alignment horizontal="center" vertical="center"/>
      <protection hidden="1"/>
    </xf>
    <xf numFmtId="185" fontId="11" fillId="2" borderId="1" xfId="2" applyNumberFormat="1" applyFont="1" applyFill="1" applyBorder="1" applyAlignment="1" applyProtection="1">
      <alignment horizontal="center" vertical="center"/>
      <protection hidden="1"/>
    </xf>
    <xf numFmtId="10" fontId="13" fillId="2" borderId="1" xfId="2" applyNumberFormat="1" applyFont="1" applyFill="1" applyBorder="1" applyAlignment="1" applyProtection="1">
      <alignment horizontal="center" vertical="center"/>
      <protection hidden="1"/>
    </xf>
    <xf numFmtId="0" fontId="46" fillId="2" borderId="0" xfId="2" applyFont="1" applyFill="1" applyBorder="1" applyAlignment="1" applyProtection="1">
      <alignment horizontal="center" vertical="center" wrapText="1"/>
      <protection hidden="1"/>
    </xf>
    <xf numFmtId="0" fontId="2" fillId="2" borderId="0" xfId="2" applyFont="1" applyFill="1" applyBorder="1" applyAlignment="1" applyProtection="1">
      <alignment horizontal="right" vertical="center"/>
      <protection hidden="1"/>
    </xf>
    <xf numFmtId="0" fontId="47" fillId="2" borderId="0" xfId="2" applyFont="1" applyFill="1" applyBorder="1" applyAlignment="1" applyProtection="1">
      <alignment vertical="center" wrapText="1"/>
      <protection hidden="1"/>
    </xf>
    <xf numFmtId="0" fontId="48" fillId="2" borderId="0" xfId="2" applyFont="1" applyFill="1" applyAlignment="1" applyProtection="1">
      <alignment horizontal="right" vertical="center"/>
      <protection hidden="1"/>
    </xf>
    <xf numFmtId="0" fontId="20" fillId="2" borderId="0" xfId="2" applyFont="1" applyFill="1" applyAlignment="1" applyProtection="1">
      <alignment horizontal="center" vertical="center"/>
      <protection hidden="1"/>
    </xf>
    <xf numFmtId="10" fontId="43" fillId="2" borderId="0" xfId="2" applyNumberFormat="1" applyFont="1" applyFill="1" applyBorder="1" applyAlignment="1" applyProtection="1">
      <alignment horizontal="center" vertical="center"/>
      <protection hidden="1"/>
    </xf>
    <xf numFmtId="0" fontId="46" fillId="2" borderId="0" xfId="2" applyFont="1" applyFill="1" applyBorder="1" applyAlignment="1" applyProtection="1">
      <alignment horizontal="center" vertical="center"/>
      <protection hidden="1"/>
    </xf>
    <xf numFmtId="179" fontId="37" fillId="2" borderId="0" xfId="4" applyNumberFormat="1" applyFont="1" applyFill="1" applyBorder="1" applyAlignment="1" applyProtection="1">
      <alignment horizontal="center" vertical="center"/>
      <protection hidden="1"/>
    </xf>
    <xf numFmtId="0" fontId="51" fillId="2" borderId="0" xfId="2" applyFont="1" applyFill="1" applyBorder="1" applyAlignment="1" applyProtection="1">
      <alignment horizontal="right" vertical="center"/>
      <protection hidden="1"/>
    </xf>
    <xf numFmtId="179" fontId="52" fillId="2" borderId="0" xfId="2" applyNumberFormat="1" applyFont="1" applyFill="1" applyBorder="1" applyAlignment="1" applyProtection="1">
      <alignment horizontal="center" vertical="center" wrapText="1"/>
      <protection hidden="1"/>
    </xf>
    <xf numFmtId="0" fontId="13" fillId="2" borderId="25" xfId="2" applyFont="1" applyFill="1" applyBorder="1" applyAlignment="1" applyProtection="1">
      <alignment horizontal="center" vertical="center"/>
      <protection hidden="1"/>
    </xf>
    <xf numFmtId="184" fontId="44" fillId="3" borderId="25" xfId="2" applyNumberFormat="1" applyFont="1" applyFill="1" applyBorder="1" applyAlignment="1" applyProtection="1">
      <alignment horizontal="center" vertical="center"/>
      <protection hidden="1"/>
    </xf>
    <xf numFmtId="185" fontId="11" fillId="2" borderId="25" xfId="2" applyNumberFormat="1" applyFont="1" applyFill="1" applyBorder="1" applyAlignment="1" applyProtection="1">
      <alignment horizontal="center" vertical="center"/>
      <protection hidden="1"/>
    </xf>
    <xf numFmtId="10" fontId="13" fillId="2" borderId="25" xfId="2" applyNumberFormat="1" applyFont="1" applyFill="1" applyBorder="1" applyAlignment="1" applyProtection="1">
      <alignment horizontal="center" vertical="center"/>
      <protection hidden="1"/>
    </xf>
    <xf numFmtId="181" fontId="37" fillId="2" borderId="0" xfId="2" applyNumberFormat="1" applyFont="1" applyFill="1" applyBorder="1" applyAlignment="1" applyProtection="1">
      <alignment horizontal="center" vertical="center" wrapText="1"/>
      <protection hidden="1"/>
    </xf>
    <xf numFmtId="0" fontId="53" fillId="2" borderId="0" xfId="3" applyFont="1" applyFill="1" applyBorder="1" applyAlignment="1" applyProtection="1">
      <alignment horizontal="center" vertical="center" wrapText="1"/>
      <protection hidden="1"/>
    </xf>
    <xf numFmtId="0" fontId="57" fillId="2" borderId="0" xfId="2" applyFont="1" applyFill="1" applyAlignment="1" applyProtection="1">
      <alignment horizontal="center" vertical="center"/>
      <protection hidden="1"/>
    </xf>
    <xf numFmtId="0" fontId="4" fillId="3" borderId="29" xfId="2" applyFont="1" applyFill="1" applyBorder="1" applyAlignment="1" applyProtection="1">
      <alignment horizontal="center" vertical="center" wrapText="1"/>
      <protection hidden="1"/>
    </xf>
    <xf numFmtId="0" fontId="13" fillId="2" borderId="30" xfId="2" applyFont="1" applyFill="1" applyBorder="1" applyAlignment="1" applyProtection="1">
      <alignment horizontal="center" vertical="center"/>
      <protection hidden="1"/>
    </xf>
    <xf numFmtId="0" fontId="10" fillId="2" borderId="15" xfId="2" applyFont="1" applyFill="1" applyBorder="1" applyAlignment="1" applyProtection="1">
      <alignment horizontal="center" vertical="center" wrapText="1"/>
      <protection hidden="1"/>
    </xf>
    <xf numFmtId="181" fontId="11" fillId="2" borderId="0" xfId="2" applyNumberFormat="1" applyFont="1" applyFill="1" applyBorder="1" applyAlignment="1" applyProtection="1">
      <alignment vertical="center"/>
      <protection hidden="1"/>
    </xf>
    <xf numFmtId="0" fontId="58" fillId="2" borderId="0" xfId="2" applyFont="1" applyFill="1" applyAlignment="1" applyProtection="1">
      <alignment vertical="center"/>
      <protection hidden="1"/>
    </xf>
    <xf numFmtId="0" fontId="58" fillId="2" borderId="0" xfId="2" applyFont="1" applyFill="1" applyAlignment="1" applyProtection="1">
      <alignment horizontal="left" vertical="center"/>
      <protection hidden="1"/>
    </xf>
    <xf numFmtId="184" fontId="44" fillId="3" borderId="1" xfId="2" applyNumberFormat="1" applyFont="1" applyFill="1" applyBorder="1" applyAlignment="1" applyProtection="1">
      <alignment vertical="center"/>
      <protection hidden="1"/>
    </xf>
    <xf numFmtId="184" fontId="11" fillId="2" borderId="1" xfId="2" applyNumberFormat="1" applyFont="1" applyFill="1" applyBorder="1" applyAlignment="1" applyProtection="1">
      <alignment horizontal="center" vertical="center"/>
      <protection hidden="1"/>
    </xf>
    <xf numFmtId="0" fontId="18" fillId="2" borderId="0" xfId="2" applyFont="1" applyFill="1" applyBorder="1" applyAlignment="1" applyProtection="1">
      <alignment vertical="center"/>
      <protection hidden="1"/>
    </xf>
    <xf numFmtId="0" fontId="56" fillId="2" borderId="0" xfId="2" applyFont="1" applyFill="1" applyAlignment="1" applyProtection="1">
      <alignment horizontal="center" vertical="center"/>
      <protection hidden="1"/>
    </xf>
    <xf numFmtId="181" fontId="30" fillId="2" borderId="0" xfId="2" applyNumberFormat="1" applyFont="1" applyFill="1" applyBorder="1" applyAlignment="1" applyProtection="1">
      <alignment horizontal="center" vertical="center" wrapText="1"/>
      <protection hidden="1"/>
    </xf>
    <xf numFmtId="181" fontId="56" fillId="2" borderId="0" xfId="2" applyNumberFormat="1" applyFont="1" applyFill="1" applyAlignment="1" applyProtection="1">
      <alignment horizontal="center" vertical="center"/>
      <protection hidden="1"/>
    </xf>
    <xf numFmtId="49" fontId="11" fillId="2" borderId="7" xfId="2" applyNumberFormat="1" applyFont="1" applyFill="1" applyBorder="1" applyAlignment="1" applyProtection="1">
      <alignment horizontal="center" vertical="center"/>
      <protection hidden="1"/>
    </xf>
    <xf numFmtId="184" fontId="44" fillId="3" borderId="7" xfId="2" applyNumberFormat="1" applyFont="1" applyFill="1" applyBorder="1" applyAlignment="1" applyProtection="1">
      <alignment vertical="center"/>
      <protection hidden="1"/>
    </xf>
    <xf numFmtId="184" fontId="11" fillId="2" borderId="7" xfId="2" applyNumberFormat="1" applyFont="1" applyFill="1" applyBorder="1" applyAlignment="1" applyProtection="1">
      <alignment horizontal="center" vertical="center"/>
      <protection hidden="1"/>
    </xf>
    <xf numFmtId="0" fontId="56" fillId="2" borderId="0" xfId="2" applyFont="1" applyFill="1" applyAlignment="1" applyProtection="1">
      <alignment vertical="top" wrapText="1"/>
      <protection hidden="1"/>
    </xf>
    <xf numFmtId="184" fontId="44" fillId="3" borderId="25" xfId="2" applyNumberFormat="1" applyFont="1" applyFill="1" applyBorder="1" applyAlignment="1" applyProtection="1">
      <alignment vertical="center"/>
      <protection hidden="1"/>
    </xf>
    <xf numFmtId="184" fontId="11" fillId="2" borderId="25" xfId="2" applyNumberFormat="1" applyFont="1" applyFill="1" applyBorder="1" applyAlignment="1" applyProtection="1">
      <alignment horizontal="center" vertical="center"/>
      <protection hidden="1"/>
    </xf>
    <xf numFmtId="0" fontId="44" fillId="12" borderId="23" xfId="2" applyFont="1" applyFill="1" applyBorder="1" applyAlignment="1" applyProtection="1">
      <alignment horizontal="center" vertical="center" wrapText="1"/>
      <protection hidden="1"/>
    </xf>
    <xf numFmtId="10" fontId="11" fillId="2" borderId="24" xfId="2" applyNumberFormat="1" applyFont="1" applyFill="1" applyBorder="1" applyAlignment="1" applyProtection="1">
      <alignment horizontal="center" vertical="center"/>
      <protection hidden="1"/>
    </xf>
    <xf numFmtId="180" fontId="10" fillId="2" borderId="25" xfId="2" applyNumberFormat="1" applyFont="1" applyFill="1" applyBorder="1" applyAlignment="1" applyProtection="1">
      <alignment horizontal="center" vertical="center"/>
      <protection hidden="1"/>
    </xf>
    <xf numFmtId="180" fontId="37" fillId="2" borderId="25" xfId="2" applyNumberFormat="1" applyFont="1" applyFill="1" applyBorder="1" applyAlignment="1" applyProtection="1">
      <alignment horizontal="center" vertical="center"/>
      <protection hidden="1"/>
    </xf>
    <xf numFmtId="49" fontId="11" fillId="2" borderId="25" xfId="2" applyNumberFormat="1" applyFont="1" applyFill="1" applyBorder="1" applyAlignment="1" applyProtection="1">
      <alignment horizontal="center" vertical="center"/>
      <protection hidden="1"/>
    </xf>
    <xf numFmtId="184" fontId="44" fillId="3" borderId="25" xfId="2" applyNumberFormat="1" applyFont="1" applyFill="1" applyBorder="1" applyAlignment="1" applyProtection="1">
      <alignment horizontal="right" vertical="center"/>
      <protection hidden="1"/>
    </xf>
    <xf numFmtId="179" fontId="59" fillId="3" borderId="25" xfId="2" applyNumberFormat="1" applyFont="1" applyFill="1" applyBorder="1" applyAlignment="1" applyProtection="1">
      <alignment horizontal="center" vertical="center"/>
      <protection hidden="1"/>
    </xf>
    <xf numFmtId="0" fontId="60" fillId="2" borderId="26" xfId="2" applyFont="1" applyFill="1" applyBorder="1" applyAlignment="1" applyProtection="1">
      <alignment horizontal="center" vertical="center" wrapText="1"/>
      <protection hidden="1"/>
    </xf>
    <xf numFmtId="0" fontId="56" fillId="2" borderId="0" xfId="2" applyFont="1" applyFill="1" applyAlignment="1" applyProtection="1">
      <alignment vertical="center"/>
      <protection hidden="1"/>
    </xf>
    <xf numFmtId="181" fontId="10" fillId="13" borderId="33" xfId="2" applyNumberFormat="1" applyFont="1" applyFill="1" applyBorder="1" applyAlignment="1" applyProtection="1">
      <alignment horizontal="center" vertical="center" wrapText="1"/>
      <protection hidden="1"/>
    </xf>
    <xf numFmtId="49" fontId="15" fillId="2" borderId="1" xfId="2" applyNumberFormat="1" applyFont="1" applyFill="1" applyBorder="1" applyAlignment="1" applyProtection="1">
      <alignment horizontal="center" vertical="center"/>
      <protection hidden="1"/>
    </xf>
    <xf numFmtId="184" fontId="44" fillId="3" borderId="1" xfId="2" applyNumberFormat="1" applyFont="1" applyFill="1" applyBorder="1" applyAlignment="1" applyProtection="1">
      <alignment horizontal="right" vertical="center"/>
      <protection hidden="1"/>
    </xf>
    <xf numFmtId="181" fontId="11" fillId="2" borderId="1" xfId="2" applyNumberFormat="1" applyFont="1" applyFill="1" applyBorder="1" applyAlignment="1" applyProtection="1">
      <alignment vertical="center"/>
      <protection hidden="1"/>
    </xf>
    <xf numFmtId="181" fontId="11" fillId="2" borderId="1" xfId="2" applyNumberFormat="1" applyFont="1" applyFill="1" applyBorder="1" applyAlignment="1" applyProtection="1">
      <alignment horizontal="right" vertical="center"/>
      <protection hidden="1"/>
    </xf>
    <xf numFmtId="0" fontId="15" fillId="2" borderId="1" xfId="2" applyFont="1" applyFill="1" applyBorder="1" applyAlignment="1" applyProtection="1">
      <alignment horizontal="center" vertical="center"/>
      <protection hidden="1"/>
    </xf>
    <xf numFmtId="0" fontId="15" fillId="2" borderId="25" xfId="2" applyFont="1" applyFill="1" applyBorder="1" applyAlignment="1" applyProtection="1">
      <alignment horizontal="center" vertical="center"/>
      <protection hidden="1"/>
    </xf>
    <xf numFmtId="181" fontId="11" fillId="2" borderId="34" xfId="2" applyNumberFormat="1" applyFont="1" applyFill="1" applyBorder="1" applyAlignment="1" applyProtection="1">
      <alignment vertical="center"/>
      <protection hidden="1"/>
    </xf>
    <xf numFmtId="181" fontId="11" fillId="2" borderId="34" xfId="2" applyNumberFormat="1" applyFont="1" applyFill="1" applyBorder="1" applyAlignment="1" applyProtection="1">
      <alignment horizontal="right" vertical="center"/>
      <protection hidden="1"/>
    </xf>
    <xf numFmtId="0" fontId="11" fillId="2" borderId="0" xfId="2" applyFont="1" applyFill="1" applyAlignment="1" applyProtection="1">
      <alignment vertical="center"/>
      <protection hidden="1"/>
    </xf>
    <xf numFmtId="181" fontId="11" fillId="2" borderId="0" xfId="2" applyNumberFormat="1" applyFont="1" applyFill="1" applyAlignment="1" applyProtection="1">
      <alignment horizontal="center" vertical="center"/>
      <protection hidden="1"/>
    </xf>
    <xf numFmtId="181" fontId="11" fillId="2" borderId="0" xfId="2" applyNumberFormat="1" applyFont="1" applyFill="1" applyAlignment="1" applyProtection="1">
      <alignment vertical="center"/>
      <protection hidden="1"/>
    </xf>
    <xf numFmtId="0" fontId="44" fillId="12" borderId="16" xfId="2" applyFont="1" applyFill="1" applyBorder="1" applyAlignment="1" applyProtection="1">
      <alignment vertical="center" wrapText="1"/>
      <protection hidden="1"/>
    </xf>
    <xf numFmtId="0" fontId="10" fillId="3" borderId="17" xfId="2" applyFont="1" applyFill="1" applyBorder="1" applyAlignment="1" applyProtection="1">
      <alignment vertical="center"/>
      <protection hidden="1"/>
    </xf>
    <xf numFmtId="181" fontId="2" fillId="10" borderId="0" xfId="2" applyNumberFormat="1" applyFont="1" applyFill="1" applyAlignment="1" applyProtection="1">
      <alignment horizontal="center" vertical="center"/>
      <protection hidden="1"/>
    </xf>
    <xf numFmtId="181" fontId="2" fillId="10" borderId="42" xfId="2" applyNumberFormat="1" applyFont="1" applyFill="1" applyBorder="1" applyAlignment="1" applyProtection="1">
      <alignment horizontal="center" vertical="center" wrapText="1"/>
      <protection hidden="1"/>
    </xf>
    <xf numFmtId="179" fontId="43" fillId="5" borderId="35" xfId="2" applyNumberFormat="1" applyFont="1" applyFill="1" applyBorder="1" applyAlignment="1" applyProtection="1">
      <alignment horizontal="center" vertical="center"/>
      <protection locked="0"/>
    </xf>
    <xf numFmtId="181" fontId="2" fillId="10" borderId="39" xfId="2" applyNumberFormat="1" applyFont="1" applyFill="1" applyBorder="1" applyAlignment="1" applyProtection="1">
      <alignment horizontal="center" vertical="center" wrapText="1"/>
      <protection hidden="1"/>
    </xf>
    <xf numFmtId="179" fontId="43" fillId="5" borderId="36" xfId="2" applyNumberFormat="1" applyFont="1" applyFill="1" applyBorder="1" applyAlignment="1" applyProtection="1">
      <alignment horizontal="center" vertical="center"/>
      <protection locked="0"/>
    </xf>
    <xf numFmtId="181" fontId="2" fillId="10" borderId="0" xfId="2" applyNumberFormat="1" applyFont="1" applyFill="1" applyAlignment="1" applyProtection="1">
      <alignment horizontal="left" vertical="center"/>
      <protection hidden="1"/>
    </xf>
    <xf numFmtId="0" fontId="65" fillId="10" borderId="0" xfId="2" applyFont="1" applyFill="1" applyAlignment="1" applyProtection="1">
      <alignment horizontal="right" vertical="center"/>
      <protection hidden="1"/>
    </xf>
    <xf numFmtId="179" fontId="65" fillId="10" borderId="0" xfId="2" applyNumberFormat="1" applyFont="1" applyFill="1" applyAlignment="1" applyProtection="1">
      <alignment horizontal="left" vertical="center"/>
      <protection hidden="1"/>
    </xf>
    <xf numFmtId="181" fontId="35" fillId="10" borderId="40" xfId="2" applyNumberFormat="1" applyFont="1" applyFill="1" applyBorder="1" applyAlignment="1" applyProtection="1">
      <alignment horizontal="center" vertical="center"/>
      <protection hidden="1"/>
    </xf>
    <xf numFmtId="179" fontId="44" fillId="10" borderId="41" xfId="2" applyNumberFormat="1" applyFont="1" applyFill="1" applyBorder="1" applyAlignment="1" applyProtection="1">
      <alignment horizontal="center" vertical="center"/>
      <protection hidden="1"/>
    </xf>
    <xf numFmtId="181" fontId="65" fillId="10" borderId="0" xfId="2" applyNumberFormat="1" applyFont="1" applyFill="1" applyAlignment="1" applyProtection="1">
      <alignment horizontal="right" vertical="center"/>
      <protection hidden="1"/>
    </xf>
    <xf numFmtId="181" fontId="66" fillId="10" borderId="38" xfId="2" applyNumberFormat="1" applyFont="1" applyFill="1" applyBorder="1" applyAlignment="1" applyProtection="1">
      <alignment horizontal="center" vertical="center"/>
      <protection hidden="1"/>
    </xf>
    <xf numFmtId="179" fontId="66" fillId="10" borderId="44" xfId="2" applyNumberFormat="1" applyFont="1" applyFill="1" applyBorder="1" applyAlignment="1" applyProtection="1">
      <alignment horizontal="center" vertical="center"/>
      <protection hidden="1"/>
    </xf>
    <xf numFmtId="9" fontId="66" fillId="10" borderId="0" xfId="2" applyNumberFormat="1" applyFont="1" applyFill="1" applyAlignment="1" applyProtection="1">
      <alignment horizontal="left" vertical="center"/>
      <protection hidden="1"/>
    </xf>
    <xf numFmtId="181" fontId="66" fillId="10" borderId="37" xfId="2" applyNumberFormat="1" applyFont="1" applyFill="1" applyBorder="1" applyAlignment="1" applyProtection="1">
      <alignment horizontal="center" vertical="center"/>
      <protection hidden="1"/>
    </xf>
    <xf numFmtId="179" fontId="66" fillId="10" borderId="43" xfId="2" applyNumberFormat="1" applyFont="1" applyFill="1" applyBorder="1" applyAlignment="1" applyProtection="1">
      <alignment horizontal="center" vertical="center"/>
      <protection hidden="1"/>
    </xf>
    <xf numFmtId="181" fontId="35" fillId="10" borderId="45" xfId="2" applyNumberFormat="1" applyFont="1" applyFill="1" applyBorder="1" applyAlignment="1" applyProtection="1">
      <alignment horizontal="center" vertical="center"/>
      <protection hidden="1"/>
    </xf>
    <xf numFmtId="179" fontId="10" fillId="15" borderId="46" xfId="2" applyNumberFormat="1" applyFont="1" applyFill="1" applyBorder="1" applyAlignment="1" applyProtection="1">
      <alignment horizontal="center" vertical="center"/>
      <protection hidden="1"/>
    </xf>
    <xf numFmtId="181" fontId="66" fillId="10" borderId="42" xfId="2" applyNumberFormat="1" applyFont="1" applyFill="1" applyBorder="1" applyAlignment="1" applyProtection="1">
      <alignment horizontal="center" vertical="center"/>
      <protection hidden="1"/>
    </xf>
    <xf numFmtId="10" fontId="66" fillId="10" borderId="35" xfId="2" applyNumberFormat="1" applyFont="1" applyFill="1" applyBorder="1" applyAlignment="1" applyProtection="1">
      <alignment horizontal="center" vertical="center"/>
      <protection hidden="1"/>
    </xf>
    <xf numFmtId="0" fontId="68" fillId="10" borderId="0" xfId="2" applyFont="1" applyFill="1" applyAlignment="1" applyProtection="1">
      <alignment vertical="center"/>
      <protection hidden="1"/>
    </xf>
    <xf numFmtId="0" fontId="13" fillId="10" borderId="0" xfId="2" applyFont="1" applyFill="1" applyAlignment="1" applyProtection="1">
      <alignment vertical="center"/>
      <protection hidden="1"/>
    </xf>
    <xf numFmtId="0" fontId="6" fillId="10" borderId="0" xfId="2" applyFill="1" applyProtection="1">
      <protection hidden="1"/>
    </xf>
    <xf numFmtId="0" fontId="38" fillId="10" borderId="0" xfId="2" applyFont="1" applyFill="1" applyAlignment="1" applyProtection="1">
      <protection hidden="1"/>
    </xf>
    <xf numFmtId="0" fontId="27" fillId="10" borderId="0" xfId="2" applyFont="1" applyFill="1" applyBorder="1" applyAlignment="1" applyProtection="1">
      <alignment vertical="center"/>
      <protection hidden="1"/>
    </xf>
    <xf numFmtId="0" fontId="69" fillId="10" borderId="0" xfId="2" applyFont="1" applyFill="1" applyBorder="1" applyAlignment="1" applyProtection="1">
      <alignment vertical="center" wrapText="1"/>
      <protection hidden="1"/>
    </xf>
    <xf numFmtId="0" fontId="69" fillId="10" borderId="0" xfId="2" applyFont="1" applyFill="1" applyBorder="1" applyAlignment="1" applyProtection="1">
      <alignment vertical="center"/>
      <protection hidden="1"/>
    </xf>
    <xf numFmtId="0" fontId="10" fillId="10" borderId="0" xfId="3" applyFont="1" applyFill="1" applyProtection="1">
      <protection hidden="1"/>
    </xf>
    <xf numFmtId="0" fontId="13" fillId="10" borderId="0" xfId="3" applyFont="1" applyFill="1" applyAlignment="1" applyProtection="1">
      <alignment horizontal="left"/>
      <protection hidden="1"/>
    </xf>
    <xf numFmtId="0" fontId="13" fillId="10" borderId="0" xfId="3" applyFont="1" applyFill="1" applyProtection="1">
      <protection hidden="1"/>
    </xf>
    <xf numFmtId="0" fontId="70" fillId="17" borderId="0" xfId="3" applyFont="1" applyFill="1" applyAlignment="1" applyProtection="1">
      <alignment vertical="center"/>
      <protection hidden="1"/>
    </xf>
    <xf numFmtId="0" fontId="72" fillId="17" borderId="0" xfId="3" applyFont="1" applyFill="1" applyAlignment="1" applyProtection="1">
      <alignment vertical="center"/>
      <protection hidden="1"/>
    </xf>
    <xf numFmtId="0" fontId="13" fillId="17" borderId="0" xfId="3" applyFont="1" applyFill="1" applyProtection="1">
      <protection hidden="1"/>
    </xf>
    <xf numFmtId="0" fontId="72" fillId="17" borderId="0" xfId="3" applyFont="1" applyFill="1" applyBorder="1" applyAlignment="1" applyProtection="1">
      <alignment horizontal="left" vertical="center"/>
      <protection hidden="1"/>
    </xf>
    <xf numFmtId="0" fontId="74" fillId="17" borderId="0" xfId="3" applyFont="1" applyFill="1" applyAlignment="1" applyProtection="1">
      <alignment vertical="center"/>
      <protection hidden="1"/>
    </xf>
    <xf numFmtId="0" fontId="64" fillId="13" borderId="49" xfId="3" applyFont="1" applyFill="1" applyBorder="1" applyAlignment="1" applyProtection="1">
      <alignment horizontal="center" vertical="center"/>
      <protection hidden="1"/>
    </xf>
    <xf numFmtId="0" fontId="35" fillId="13" borderId="52" xfId="3" applyFont="1" applyFill="1" applyBorder="1" applyAlignment="1" applyProtection="1">
      <alignment horizontal="center" vertical="center"/>
      <protection hidden="1"/>
    </xf>
    <xf numFmtId="0" fontId="75" fillId="13" borderId="53" xfId="2" applyFont="1" applyFill="1" applyBorder="1" applyAlignment="1" applyProtection="1">
      <alignment horizontal="center" vertical="center" wrapText="1"/>
      <protection hidden="1"/>
    </xf>
    <xf numFmtId="0" fontId="75" fillId="13" borderId="46" xfId="2" applyFont="1" applyFill="1" applyBorder="1" applyAlignment="1" applyProtection="1">
      <alignment horizontal="center" vertical="center" wrapText="1"/>
      <protection hidden="1"/>
    </xf>
    <xf numFmtId="0" fontId="38" fillId="10" borderId="0" xfId="3" applyFont="1" applyFill="1" applyBorder="1" applyAlignment="1" applyProtection="1">
      <alignment horizontal="center" vertical="center" wrapText="1"/>
      <protection hidden="1"/>
    </xf>
    <xf numFmtId="0" fontId="72" fillId="17" borderId="0" xfId="3" applyFont="1" applyFill="1" applyAlignment="1" applyProtection="1">
      <protection hidden="1"/>
    </xf>
    <xf numFmtId="0" fontId="13" fillId="13" borderId="58" xfId="3" applyFont="1" applyFill="1" applyBorder="1" applyAlignment="1" applyProtection="1">
      <alignment horizontal="left" vertical="center"/>
      <protection hidden="1"/>
    </xf>
    <xf numFmtId="0" fontId="13" fillId="10" borderId="0" xfId="3" applyFont="1" applyFill="1" applyAlignment="1" applyProtection="1">
      <alignment vertical="center"/>
      <protection hidden="1"/>
    </xf>
    <xf numFmtId="0" fontId="35" fillId="13" borderId="62" xfId="2" applyFont="1" applyFill="1" applyBorder="1" applyAlignment="1" applyProtection="1">
      <alignment horizontal="center" vertical="center" wrapText="1" readingOrder="1"/>
      <protection hidden="1"/>
    </xf>
    <xf numFmtId="0" fontId="35" fillId="13" borderId="63" xfId="2" applyFont="1" applyFill="1" applyBorder="1" applyAlignment="1" applyProtection="1">
      <alignment horizontal="center" vertical="center" wrapText="1" readingOrder="1"/>
      <protection hidden="1"/>
    </xf>
    <xf numFmtId="0" fontId="35" fillId="13" borderId="66" xfId="2" applyFont="1" applyFill="1" applyBorder="1" applyAlignment="1" applyProtection="1">
      <alignment horizontal="center" vertical="center" wrapText="1" readingOrder="1"/>
      <protection hidden="1"/>
    </xf>
    <xf numFmtId="0" fontId="72" fillId="17" borderId="27" xfId="3" applyFont="1" applyFill="1" applyBorder="1" applyAlignment="1" applyProtection="1">
      <protection hidden="1"/>
    </xf>
    <xf numFmtId="0" fontId="70" fillId="17" borderId="67" xfId="3" applyFont="1" applyFill="1" applyBorder="1" applyAlignment="1" applyProtection="1">
      <protection hidden="1"/>
    </xf>
    <xf numFmtId="0" fontId="74" fillId="17" borderId="67" xfId="3" applyFont="1" applyFill="1" applyBorder="1" applyAlignment="1" applyProtection="1">
      <protection hidden="1"/>
    </xf>
    <xf numFmtId="0" fontId="13" fillId="17" borderId="28" xfId="3" applyFont="1" applyFill="1" applyBorder="1" applyProtection="1">
      <protection hidden="1"/>
    </xf>
    <xf numFmtId="0" fontId="78" fillId="13" borderId="72" xfId="2" applyFont="1" applyFill="1" applyBorder="1" applyAlignment="1" applyProtection="1">
      <alignment horizontal="center" vertical="center" wrapText="1" readingOrder="1"/>
      <protection hidden="1"/>
    </xf>
    <xf numFmtId="0" fontId="78" fillId="13" borderId="74" xfId="2" applyFont="1" applyFill="1" applyBorder="1" applyAlignment="1" applyProtection="1">
      <alignment horizontal="center" vertical="center" wrapText="1" readingOrder="1"/>
      <protection hidden="1"/>
    </xf>
    <xf numFmtId="0" fontId="78" fillId="13" borderId="82" xfId="2" applyFont="1" applyFill="1" applyBorder="1" applyAlignment="1" applyProtection="1">
      <alignment horizontal="center" vertical="center" wrapText="1" readingOrder="1"/>
      <protection hidden="1"/>
    </xf>
    <xf numFmtId="0" fontId="78" fillId="13" borderId="41" xfId="2" applyFont="1" applyFill="1" applyBorder="1" applyAlignment="1" applyProtection="1">
      <alignment horizontal="center" vertical="center" wrapText="1" readingOrder="1"/>
      <protection hidden="1"/>
    </xf>
    <xf numFmtId="0" fontId="13" fillId="13" borderId="0" xfId="3" applyFont="1" applyFill="1" applyProtection="1">
      <protection hidden="1"/>
    </xf>
    <xf numFmtId="0" fontId="10" fillId="10" borderId="0" xfId="2" applyFont="1" applyFill="1" applyAlignment="1" applyProtection="1">
      <protection hidden="1"/>
    </xf>
    <xf numFmtId="0" fontId="72" fillId="18" borderId="1" xfId="2" applyFont="1" applyFill="1" applyBorder="1" applyAlignment="1" applyProtection="1">
      <alignment horizontal="center" vertical="center" wrapText="1" readingOrder="1"/>
      <protection hidden="1"/>
    </xf>
    <xf numFmtId="0" fontId="72" fillId="18" borderId="5" xfId="2" applyFont="1" applyFill="1" applyBorder="1" applyAlignment="1" applyProtection="1">
      <alignment horizontal="center" vertical="center" wrapText="1" readingOrder="1"/>
      <protection hidden="1"/>
    </xf>
    <xf numFmtId="0" fontId="10" fillId="15" borderId="1" xfId="2" applyFont="1" applyFill="1" applyBorder="1" applyAlignment="1" applyProtection="1">
      <alignment horizontal="center" vertical="center" wrapText="1"/>
      <protection hidden="1"/>
    </xf>
    <xf numFmtId="0" fontId="39" fillId="10" borderId="0" xfId="5" applyFont="1" applyFill="1" applyAlignment="1" applyProtection="1">
      <alignment vertical="center"/>
      <protection hidden="1"/>
    </xf>
    <xf numFmtId="0" fontId="87" fillId="10" borderId="0" xfId="2" applyFont="1" applyFill="1" applyAlignment="1" applyProtection="1">
      <alignment horizontal="right" vertical="center"/>
      <protection hidden="1"/>
    </xf>
    <xf numFmtId="0" fontId="4" fillId="15" borderId="33" xfId="2" applyFont="1" applyFill="1" applyBorder="1" applyAlignment="1" applyProtection="1">
      <alignment horizontal="center" vertical="center"/>
      <protection hidden="1"/>
    </xf>
    <xf numFmtId="0" fontId="4" fillId="15" borderId="34" xfId="2" applyFont="1" applyFill="1" applyBorder="1" applyAlignment="1" applyProtection="1">
      <alignment horizontal="center" vertical="center"/>
      <protection hidden="1"/>
    </xf>
    <xf numFmtId="0" fontId="36" fillId="10" borderId="0" xfId="2" applyFont="1" applyFill="1" applyAlignment="1" applyProtection="1">
      <alignment vertical="center"/>
      <protection hidden="1"/>
    </xf>
    <xf numFmtId="0" fontId="88" fillId="2" borderId="0" xfId="5" applyFont="1" applyFill="1" applyAlignment="1" applyProtection="1">
      <alignment horizontal="center" vertical="center"/>
      <protection locked="0"/>
    </xf>
    <xf numFmtId="0" fontId="89" fillId="2" borderId="0" xfId="5" applyFont="1" applyFill="1" applyAlignment="1" applyProtection="1">
      <alignment horizontal="center" vertical="center"/>
      <protection locked="0"/>
    </xf>
    <xf numFmtId="0" fontId="47" fillId="2" borderId="0" xfId="0" applyFont="1" applyFill="1" applyBorder="1" applyAlignment="1" applyProtection="1">
      <alignment vertical="center" wrapText="1"/>
      <protection hidden="1"/>
    </xf>
    <xf numFmtId="0" fontId="6" fillId="2" borderId="0" xfId="2" applyFill="1" applyProtection="1">
      <protection hidden="1"/>
    </xf>
    <xf numFmtId="0" fontId="6" fillId="2" borderId="0" xfId="2" applyFill="1" applyAlignment="1" applyProtection="1">
      <alignment horizontal="right"/>
      <protection hidden="1"/>
    </xf>
    <xf numFmtId="0" fontId="91" fillId="2" borderId="0" xfId="2" applyFont="1" applyFill="1" applyAlignment="1" applyProtection="1">
      <alignment horizontal="left" vertical="top" wrapText="1"/>
      <protection hidden="1"/>
    </xf>
    <xf numFmtId="0" fontId="91" fillId="2" borderId="0" xfId="2" applyFont="1" applyFill="1" applyAlignment="1" applyProtection="1">
      <alignment horizontal="right" vertical="top" wrapText="1"/>
      <protection hidden="1"/>
    </xf>
    <xf numFmtId="0" fontId="92" fillId="2" borderId="0" xfId="2" applyFont="1" applyFill="1" applyAlignment="1" applyProtection="1">
      <alignment horizontal="left" vertical="top" wrapText="1"/>
      <protection hidden="1"/>
    </xf>
    <xf numFmtId="0" fontId="93" fillId="19" borderId="12" xfId="2" applyFont="1" applyFill="1" applyBorder="1" applyAlignment="1" applyProtection="1">
      <alignment horizontal="center" vertical="center" wrapText="1"/>
      <protection hidden="1"/>
    </xf>
    <xf numFmtId="0" fontId="94" fillId="20" borderId="89" xfId="2" applyFont="1" applyFill="1" applyBorder="1" applyAlignment="1" applyProtection="1">
      <alignment horizontal="center" vertical="center" wrapText="1"/>
      <protection hidden="1"/>
    </xf>
    <xf numFmtId="0" fontId="95" fillId="2" borderId="0" xfId="2" applyFont="1" applyFill="1" applyProtection="1">
      <protection hidden="1"/>
    </xf>
    <xf numFmtId="0" fontId="98" fillId="0" borderId="93" xfId="5" applyFont="1" applyFill="1" applyBorder="1" applyAlignment="1" applyProtection="1">
      <alignment horizontal="center" vertical="center"/>
      <protection locked="0"/>
    </xf>
    <xf numFmtId="0" fontId="99" fillId="2" borderId="0" xfId="2" applyFont="1" applyFill="1" applyProtection="1">
      <protection hidden="1"/>
    </xf>
    <xf numFmtId="0" fontId="97" fillId="0" borderId="96" xfId="5" applyFont="1" applyBorder="1" applyAlignment="1">
      <alignment horizontal="center" vertical="center"/>
    </xf>
    <xf numFmtId="0" fontId="96" fillId="0" borderId="23" xfId="5" applyFont="1" applyFill="1" applyBorder="1" applyAlignment="1" applyProtection="1">
      <alignment horizontal="center" vertical="center" wrapText="1"/>
      <protection hidden="1"/>
    </xf>
    <xf numFmtId="0" fontId="11" fillId="21" borderId="0" xfId="0" applyFont="1" applyFill="1" applyBorder="1" applyAlignment="1" applyProtection="1">
      <alignment vertical="center" wrapText="1"/>
      <protection hidden="1"/>
    </xf>
    <xf numFmtId="0" fontId="101" fillId="2" borderId="1" xfId="0" applyFont="1" applyFill="1" applyBorder="1" applyAlignment="1" applyProtection="1">
      <alignment horizontal="center" vertical="center"/>
      <protection hidden="1"/>
    </xf>
    <xf numFmtId="0" fontId="102" fillId="2" borderId="0" xfId="0" applyFont="1" applyFill="1" applyAlignment="1" applyProtection="1">
      <alignment horizontal="right" vertical="center"/>
      <protection hidden="1"/>
    </xf>
    <xf numFmtId="9" fontId="102" fillId="2" borderId="0" xfId="0" applyNumberFormat="1" applyFont="1" applyFill="1" applyAlignment="1" applyProtection="1">
      <alignment horizontal="left" vertical="center"/>
      <protection hidden="1"/>
    </xf>
    <xf numFmtId="0" fontId="103" fillId="2" borderId="9" xfId="0" applyFont="1" applyFill="1" applyBorder="1" applyAlignment="1" applyProtection="1">
      <alignment vertical="top" wrapText="1"/>
      <protection hidden="1"/>
    </xf>
    <xf numFmtId="0" fontId="101" fillId="2" borderId="0" xfId="0" applyFont="1" applyFill="1" applyBorder="1" applyAlignment="1" applyProtection="1">
      <alignment horizontal="center" vertical="center" wrapText="1"/>
      <protection hidden="1"/>
    </xf>
    <xf numFmtId="179" fontId="4" fillId="2" borderId="1" xfId="1" applyNumberFormat="1" applyFont="1" applyFill="1" applyBorder="1" applyAlignment="1" applyProtection="1">
      <alignment horizontal="center" vertical="center"/>
      <protection hidden="1"/>
    </xf>
    <xf numFmtId="0" fontId="51" fillId="2" borderId="0" xfId="0" applyFont="1" applyFill="1" applyAlignment="1" applyProtection="1">
      <alignment horizontal="left" vertical="center"/>
      <protection hidden="1"/>
    </xf>
    <xf numFmtId="9" fontId="51" fillId="2" borderId="0" xfId="0" applyNumberFormat="1" applyFont="1" applyFill="1" applyAlignment="1" applyProtection="1">
      <alignment horizontal="left" vertical="center"/>
      <protection hidden="1"/>
    </xf>
    <xf numFmtId="0" fontId="51" fillId="2" borderId="0" xfId="0" applyFont="1" applyFill="1" applyProtection="1">
      <alignment vertical="center"/>
      <protection hidden="1"/>
    </xf>
    <xf numFmtId="0" fontId="2" fillId="2" borderId="0" xfId="0" applyFont="1" applyFill="1" applyProtection="1">
      <alignment vertical="center"/>
      <protection hidden="1"/>
    </xf>
    <xf numFmtId="10" fontId="102" fillId="2" borderId="0" xfId="0" applyNumberFormat="1" applyFont="1" applyFill="1" applyAlignment="1" applyProtection="1">
      <alignment horizontal="left" vertical="center"/>
      <protection hidden="1"/>
    </xf>
    <xf numFmtId="176" fontId="29" fillId="2" borderId="0" xfId="0" applyNumberFormat="1" applyFont="1" applyFill="1" applyBorder="1" applyAlignment="1" applyProtection="1">
      <alignment horizontal="center" vertical="center"/>
      <protection hidden="1"/>
    </xf>
    <xf numFmtId="0" fontId="15" fillId="2" borderId="10" xfId="0" applyFont="1" applyFill="1" applyBorder="1" applyAlignment="1" applyProtection="1">
      <alignment horizontal="center" vertical="center"/>
      <protection hidden="1"/>
    </xf>
    <xf numFmtId="183" fontId="4" fillId="3" borderId="7" xfId="0" applyNumberFormat="1" applyFont="1" applyFill="1" applyBorder="1" applyAlignment="1" applyProtection="1">
      <alignment horizontal="center" vertical="center"/>
      <protection hidden="1"/>
    </xf>
    <xf numFmtId="180" fontId="13" fillId="2" borderId="7" xfId="1" applyNumberFormat="1" applyFont="1" applyFill="1" applyBorder="1" applyAlignment="1" applyProtection="1">
      <alignment horizontal="center" vertical="center"/>
      <protection hidden="1"/>
    </xf>
    <xf numFmtId="1" fontId="13" fillId="2" borderId="7" xfId="0" applyNumberFormat="1" applyFont="1" applyFill="1" applyBorder="1" applyAlignment="1" applyProtection="1">
      <alignment horizontal="center" vertical="center"/>
      <protection hidden="1"/>
    </xf>
    <xf numFmtId="183" fontId="4" fillId="3" borderId="89" xfId="0" applyNumberFormat="1" applyFont="1" applyFill="1" applyBorder="1" applyAlignment="1" applyProtection="1">
      <alignment horizontal="center" vertical="center"/>
      <protection hidden="1"/>
    </xf>
    <xf numFmtId="180" fontId="13" fillId="2" borderId="89" xfId="1" applyNumberFormat="1" applyFont="1" applyFill="1" applyBorder="1" applyAlignment="1" applyProtection="1">
      <alignment horizontal="center" vertical="center"/>
      <protection hidden="1"/>
    </xf>
    <xf numFmtId="10" fontId="13" fillId="2" borderId="89" xfId="1" applyNumberFormat="1" applyFont="1" applyFill="1" applyBorder="1" applyAlignment="1" applyProtection="1">
      <alignment horizontal="center" vertical="center"/>
      <protection hidden="1"/>
    </xf>
    <xf numFmtId="1" fontId="13" fillId="2" borderId="89" xfId="0" applyNumberFormat="1" applyFont="1" applyFill="1" applyBorder="1" applyAlignment="1" applyProtection="1">
      <alignment horizontal="center" vertical="center"/>
      <protection hidden="1"/>
    </xf>
    <xf numFmtId="10" fontId="13" fillId="2" borderId="4" xfId="1" applyNumberFormat="1" applyFont="1" applyFill="1" applyBorder="1" applyAlignment="1" applyProtection="1">
      <alignment horizontal="center" vertical="center"/>
      <protection hidden="1"/>
    </xf>
    <xf numFmtId="0" fontId="15" fillId="2" borderId="93" xfId="0" applyFont="1" applyFill="1" applyBorder="1" applyAlignment="1" applyProtection="1">
      <alignment horizontal="center" vertical="center"/>
      <protection hidden="1"/>
    </xf>
    <xf numFmtId="0" fontId="10" fillId="2" borderId="7" xfId="0" applyFont="1" applyFill="1" applyBorder="1" applyAlignment="1" applyProtection="1">
      <alignment horizontal="center" vertical="center"/>
      <protection hidden="1"/>
    </xf>
    <xf numFmtId="0" fontId="11" fillId="2" borderId="7" xfId="0" applyFont="1" applyFill="1" applyBorder="1" applyAlignment="1" applyProtection="1">
      <alignment horizontal="center" vertical="center" wrapText="1"/>
      <protection hidden="1"/>
    </xf>
    <xf numFmtId="0" fontId="11" fillId="2" borderId="12" xfId="0" applyFont="1" applyFill="1" applyBorder="1" applyAlignment="1" applyProtection="1">
      <alignment horizontal="center" vertical="center" wrapText="1"/>
      <protection hidden="1"/>
    </xf>
    <xf numFmtId="0" fontId="11" fillId="2" borderId="10" xfId="0" applyFont="1" applyFill="1" applyBorder="1" applyAlignment="1" applyProtection="1">
      <alignment horizontal="center" vertical="center" wrapText="1"/>
      <protection hidden="1"/>
    </xf>
    <xf numFmtId="0" fontId="13" fillId="2" borderId="9" xfId="0" applyFont="1" applyFill="1" applyBorder="1" applyAlignment="1" applyProtection="1">
      <alignment horizontal="center" vertical="center" wrapText="1"/>
      <protection hidden="1"/>
    </xf>
    <xf numFmtId="0" fontId="11" fillId="8" borderId="7" xfId="0" applyFont="1" applyFill="1" applyBorder="1" applyAlignment="1" applyProtection="1">
      <alignment horizontal="center" vertical="center" wrapText="1"/>
      <protection hidden="1"/>
    </xf>
    <xf numFmtId="0" fontId="11" fillId="4" borderId="10" xfId="0" applyFont="1" applyFill="1" applyBorder="1" applyAlignment="1" applyProtection="1">
      <alignment horizontal="center" vertical="center" wrapText="1"/>
      <protection hidden="1"/>
    </xf>
    <xf numFmtId="0" fontId="11" fillId="2" borderId="7" xfId="0" applyFont="1" applyFill="1" applyBorder="1" applyAlignment="1" applyProtection="1">
      <alignment horizontal="center" vertical="center"/>
      <protection hidden="1"/>
    </xf>
    <xf numFmtId="0" fontId="13" fillId="2" borderId="5" xfId="0" applyFont="1" applyFill="1" applyBorder="1" applyAlignment="1" applyProtection="1">
      <alignment horizontal="center" vertical="center"/>
      <protection hidden="1"/>
    </xf>
    <xf numFmtId="0" fontId="101" fillId="2" borderId="89" xfId="0" applyFont="1" applyFill="1" applyBorder="1" applyAlignment="1" applyProtection="1">
      <alignment horizontal="center" vertical="center" wrapText="1"/>
      <protection hidden="1"/>
    </xf>
    <xf numFmtId="0" fontId="44" fillId="0" borderId="97" xfId="2" applyFont="1" applyFill="1" applyBorder="1" applyAlignment="1" applyProtection="1">
      <alignment horizontal="center" vertical="center" wrapText="1"/>
      <protection hidden="1"/>
    </xf>
    <xf numFmtId="0" fontId="96" fillId="0" borderId="99" xfId="2" applyFont="1" applyFill="1" applyBorder="1" applyAlignment="1" applyProtection="1">
      <alignment horizontal="center" vertical="center" wrapText="1"/>
      <protection hidden="1"/>
    </xf>
    <xf numFmtId="0" fontId="105" fillId="2" borderId="0" xfId="5" applyFont="1" applyFill="1" applyAlignment="1" applyProtection="1">
      <alignment horizontal="center" vertical="center"/>
      <protection locked="0"/>
    </xf>
    <xf numFmtId="0" fontId="12" fillId="2" borderId="0" xfId="0" applyFont="1" applyFill="1" applyBorder="1" applyAlignment="1" applyProtection="1">
      <alignment vertical="center" wrapText="1"/>
      <protection hidden="1"/>
    </xf>
    <xf numFmtId="0" fontId="106" fillId="22" borderId="13" xfId="0" applyFont="1" applyFill="1" applyBorder="1" applyAlignment="1">
      <alignment horizontal="center" vertical="center"/>
    </xf>
    <xf numFmtId="0" fontId="106" fillId="22" borderId="100" xfId="0" applyFont="1" applyFill="1" applyBorder="1" applyAlignment="1">
      <alignment horizontal="center" vertical="center"/>
    </xf>
    <xf numFmtId="0" fontId="0" fillId="10" borderId="13" xfId="0" applyFill="1" applyBorder="1" applyAlignment="1">
      <alignment horizontal="center" vertical="center"/>
    </xf>
    <xf numFmtId="0" fontId="0" fillId="10" borderId="100" xfId="0" applyFill="1" applyBorder="1" applyAlignment="1">
      <alignment horizontal="center" vertical="center"/>
    </xf>
    <xf numFmtId="0" fontId="107" fillId="10" borderId="100" xfId="0" applyFont="1" applyFill="1" applyBorder="1" applyAlignment="1">
      <alignment horizontal="center" vertical="center"/>
    </xf>
    <xf numFmtId="0" fontId="0" fillId="0" borderId="89" xfId="0" applyBorder="1" applyAlignment="1">
      <alignment horizontal="center" vertical="center"/>
    </xf>
    <xf numFmtId="9" fontId="0" fillId="0" borderId="1" xfId="0" applyNumberFormat="1" applyBorder="1" applyAlignment="1">
      <alignment horizontal="center" vertical="center"/>
    </xf>
    <xf numFmtId="8" fontId="13" fillId="2" borderId="0" xfId="0" applyNumberFormat="1" applyFont="1" applyFill="1" applyProtection="1">
      <alignment vertical="center"/>
      <protection hidden="1"/>
    </xf>
    <xf numFmtId="0" fontId="102" fillId="2" borderId="0" xfId="0" applyFont="1" applyFill="1" applyProtection="1">
      <alignment vertical="center"/>
      <protection hidden="1"/>
    </xf>
    <xf numFmtId="0" fontId="13" fillId="13" borderId="0" xfId="3" applyFont="1" applyFill="1" applyBorder="1" applyAlignment="1" applyProtection="1">
      <alignment vertical="center"/>
      <protection hidden="1"/>
    </xf>
    <xf numFmtId="0" fontId="9" fillId="13" borderId="0" xfId="3" applyFont="1" applyFill="1" applyBorder="1" applyAlignment="1" applyProtection="1">
      <alignment wrapText="1"/>
      <protection hidden="1"/>
    </xf>
    <xf numFmtId="0" fontId="77" fillId="15" borderId="103" xfId="2" applyFont="1" applyFill="1" applyBorder="1" applyAlignment="1" applyProtection="1">
      <alignment horizontal="center" vertical="center" wrapText="1" readingOrder="1"/>
      <protection hidden="1"/>
    </xf>
    <xf numFmtId="0" fontId="78" fillId="15" borderId="50" xfId="2" applyFont="1" applyFill="1" applyBorder="1" applyAlignment="1" applyProtection="1">
      <alignment horizontal="center" vertical="center" wrapText="1" readingOrder="1"/>
      <protection hidden="1"/>
    </xf>
    <xf numFmtId="0" fontId="78" fillId="15" borderId="50" xfId="2" applyFont="1" applyFill="1" applyBorder="1" applyAlignment="1" applyProtection="1">
      <alignment vertical="center" wrapText="1" readingOrder="1"/>
      <protection hidden="1"/>
    </xf>
    <xf numFmtId="0" fontId="78" fillId="15" borderId="51" xfId="2" applyFont="1" applyFill="1" applyBorder="1" applyAlignment="1" applyProtection="1">
      <alignment horizontal="center" vertical="center" wrapText="1" readingOrder="1"/>
      <protection hidden="1"/>
    </xf>
    <xf numFmtId="3" fontId="27" fillId="10" borderId="100" xfId="0" applyNumberFormat="1" applyFont="1" applyFill="1" applyBorder="1" applyAlignment="1">
      <alignment horizontal="center" vertical="center"/>
    </xf>
    <xf numFmtId="3" fontId="27" fillId="10" borderId="100" xfId="0" applyNumberFormat="1" applyFont="1" applyFill="1" applyBorder="1" applyAlignment="1">
      <alignment horizontal="center" vertical="center" wrapText="1"/>
    </xf>
    <xf numFmtId="0" fontId="6" fillId="0" borderId="0" xfId="2" applyAlignment="1">
      <alignment horizontal="center" vertical="center"/>
    </xf>
    <xf numFmtId="0" fontId="6" fillId="16" borderId="0" xfId="2" applyFill="1" applyAlignment="1">
      <alignment horizontal="center" vertical="center"/>
    </xf>
    <xf numFmtId="0" fontId="6" fillId="0" borderId="95" xfId="2" applyBorder="1" applyAlignment="1">
      <alignment horizontal="center" vertical="center"/>
    </xf>
    <xf numFmtId="10" fontId="0" fillId="0" borderId="89" xfId="7" applyNumberFormat="1" applyFont="1" applyBorder="1" applyAlignment="1">
      <alignment horizontal="center" vertical="center"/>
    </xf>
    <xf numFmtId="0" fontId="6" fillId="0" borderId="89" xfId="2" applyBorder="1" applyAlignment="1">
      <alignment horizontal="center" vertical="center" wrapText="1"/>
    </xf>
    <xf numFmtId="0" fontId="6" fillId="11" borderId="89" xfId="2" applyFill="1" applyBorder="1" applyAlignment="1">
      <alignment horizontal="center" vertical="center"/>
    </xf>
    <xf numFmtId="0" fontId="6" fillId="11" borderId="89" xfId="2" applyFill="1" applyBorder="1" applyAlignment="1">
      <alignment horizontal="center" vertical="center" wrapText="1"/>
    </xf>
    <xf numFmtId="0" fontId="6" fillId="16" borderId="0" xfId="2" applyFont="1" applyFill="1" applyAlignment="1">
      <alignment horizontal="center" vertical="center"/>
    </xf>
    <xf numFmtId="0" fontId="6" fillId="0" borderId="0" xfId="2" applyFont="1" applyAlignment="1">
      <alignment vertical="center"/>
    </xf>
    <xf numFmtId="0" fontId="6" fillId="11" borderId="89" xfId="2" applyFont="1" applyFill="1" applyBorder="1" applyAlignment="1">
      <alignment vertical="center"/>
    </xf>
    <xf numFmtId="0" fontId="6" fillId="11" borderId="0" xfId="2" applyFill="1" applyAlignment="1">
      <alignment horizontal="center" vertical="center"/>
    </xf>
    <xf numFmtId="0" fontId="6" fillId="0" borderId="89" xfId="2" applyBorder="1" applyAlignment="1">
      <alignment horizontal="center" vertical="center"/>
    </xf>
    <xf numFmtId="0" fontId="101" fillId="2" borderId="7" xfId="0" applyFont="1" applyFill="1" applyBorder="1" applyAlignment="1" applyProtection="1">
      <alignment horizontal="center" vertical="center" wrapText="1"/>
      <protection hidden="1"/>
    </xf>
    <xf numFmtId="0" fontId="102" fillId="2" borderId="0" xfId="0" applyFont="1" applyFill="1" applyAlignment="1" applyProtection="1">
      <alignment horizontal="left" vertical="center"/>
      <protection hidden="1"/>
    </xf>
    <xf numFmtId="0" fontId="0" fillId="10" borderId="0" xfId="0" applyFill="1" applyAlignment="1" applyProtection="1">
      <protection hidden="1"/>
    </xf>
    <xf numFmtId="0" fontId="108" fillId="2" borderId="0" xfId="5" applyFont="1" applyFill="1" applyAlignment="1" applyProtection="1">
      <alignment horizontal="center" vertical="center"/>
      <protection locked="0"/>
    </xf>
    <xf numFmtId="0" fontId="69" fillId="10" borderId="0" xfId="0" applyFont="1" applyFill="1" applyBorder="1" applyAlignment="1" applyProtection="1">
      <alignment horizontal="center" vertical="center" wrapText="1"/>
      <protection hidden="1"/>
    </xf>
    <xf numFmtId="0" fontId="7" fillId="10" borderId="0" xfId="0" applyFont="1" applyFill="1" applyBorder="1" applyAlignment="1" applyProtection="1">
      <alignment horizontal="center" vertical="center" wrapText="1"/>
      <protection hidden="1"/>
    </xf>
    <xf numFmtId="0" fontId="10" fillId="10" borderId="0" xfId="0" applyFont="1" applyFill="1" applyAlignment="1" applyProtection="1">
      <protection hidden="1"/>
    </xf>
    <xf numFmtId="0" fontId="0" fillId="10" borderId="0" xfId="0" applyFill="1" applyAlignment="1" applyProtection="1">
      <alignment vertical="center"/>
      <protection hidden="1"/>
    </xf>
    <xf numFmtId="0" fontId="0" fillId="10" borderId="0" xfId="0" applyFill="1" applyAlignment="1" applyProtection="1">
      <alignment horizontal="center" vertical="center"/>
      <protection hidden="1"/>
    </xf>
    <xf numFmtId="0" fontId="72" fillId="18" borderId="45" xfId="0" applyFont="1" applyFill="1" applyBorder="1" applyAlignment="1" applyProtection="1">
      <alignment horizontal="center" vertical="center"/>
      <protection hidden="1"/>
    </xf>
    <xf numFmtId="0" fontId="72" fillId="18" borderId="53" xfId="0" applyFont="1" applyFill="1" applyBorder="1" applyAlignment="1" applyProtection="1">
      <alignment horizontal="center" vertical="center"/>
      <protection hidden="1"/>
    </xf>
    <xf numFmtId="0" fontId="72" fillId="18" borderId="46" xfId="0" applyFont="1" applyFill="1" applyBorder="1" applyAlignment="1" applyProtection="1">
      <alignment horizontal="center" vertical="center"/>
      <protection hidden="1"/>
    </xf>
    <xf numFmtId="0" fontId="13" fillId="13" borderId="33" xfId="0" applyFont="1" applyFill="1" applyBorder="1" applyAlignment="1" applyProtection="1">
      <alignment horizontal="center" vertical="center" wrapText="1"/>
      <protection hidden="1"/>
    </xf>
    <xf numFmtId="0" fontId="2" fillId="13" borderId="36" xfId="0" applyFont="1" applyFill="1" applyBorder="1" applyAlignment="1" applyProtection="1">
      <alignment horizontal="center" vertical="center"/>
      <protection hidden="1"/>
    </xf>
    <xf numFmtId="0" fontId="13" fillId="13" borderId="1" xfId="0" applyFont="1" applyFill="1" applyBorder="1" applyAlignment="1" applyProtection="1">
      <alignment horizontal="center" vertical="center" wrapText="1"/>
      <protection hidden="1"/>
    </xf>
    <xf numFmtId="0" fontId="21" fillId="13" borderId="36" xfId="0" applyFont="1" applyFill="1" applyBorder="1" applyAlignment="1" applyProtection="1">
      <alignment horizontal="center" vertical="center"/>
      <protection hidden="1"/>
    </xf>
    <xf numFmtId="0" fontId="80" fillId="10" borderId="0" xfId="0" applyFont="1" applyFill="1" applyBorder="1" applyAlignment="1" applyProtection="1">
      <alignment horizontal="center" vertical="center"/>
      <protection hidden="1"/>
    </xf>
    <xf numFmtId="0" fontId="27" fillId="10" borderId="0" xfId="0" applyFont="1" applyFill="1" applyBorder="1" applyAlignment="1" applyProtection="1">
      <alignment horizontal="center" vertical="center"/>
      <protection hidden="1"/>
    </xf>
    <xf numFmtId="0" fontId="4" fillId="13" borderId="1" xfId="0" applyFont="1" applyFill="1" applyBorder="1" applyAlignment="1" applyProtection="1">
      <alignment horizontal="center" vertical="center" wrapText="1"/>
      <protection hidden="1"/>
    </xf>
    <xf numFmtId="0" fontId="2" fillId="13" borderId="1" xfId="0" applyFont="1" applyFill="1" applyBorder="1" applyAlignment="1" applyProtection="1">
      <alignment horizontal="center" vertical="center"/>
      <protection hidden="1"/>
    </xf>
    <xf numFmtId="0" fontId="80" fillId="10" borderId="0" xfId="0" applyFont="1" applyFill="1" applyBorder="1" applyAlignment="1" applyProtection="1">
      <alignment horizontal="center" vertical="center" wrapText="1"/>
      <protection hidden="1"/>
    </xf>
    <xf numFmtId="9" fontId="2" fillId="13" borderId="1" xfId="0" applyNumberFormat="1" applyFont="1" applyFill="1" applyBorder="1" applyAlignment="1" applyProtection="1">
      <alignment horizontal="center" vertical="center"/>
      <protection hidden="1"/>
    </xf>
    <xf numFmtId="0" fontId="4" fillId="13" borderId="34" xfId="0" applyFont="1" applyFill="1" applyBorder="1" applyAlignment="1" applyProtection="1">
      <alignment horizontal="center" vertical="center" wrapText="1"/>
      <protection hidden="1"/>
    </xf>
    <xf numFmtId="9" fontId="2" fillId="13" borderId="34" xfId="0" applyNumberFormat="1" applyFont="1" applyFill="1" applyBorder="1" applyAlignment="1" applyProtection="1">
      <alignment horizontal="center" vertical="center"/>
      <protection hidden="1"/>
    </xf>
    <xf numFmtId="0" fontId="2" fillId="13" borderId="34" xfId="0" applyFont="1" applyFill="1" applyBorder="1" applyAlignment="1" applyProtection="1">
      <alignment horizontal="center" vertical="center"/>
      <protection hidden="1"/>
    </xf>
    <xf numFmtId="0" fontId="13" fillId="15" borderId="3" xfId="0" applyFont="1" applyFill="1" applyBorder="1" applyAlignment="1" applyProtection="1">
      <alignment horizontal="center" vertical="center" wrapText="1"/>
      <protection hidden="1"/>
    </xf>
    <xf numFmtId="0" fontId="4" fillId="15" borderId="34" xfId="0" applyFont="1" applyFill="1" applyBorder="1" applyAlignment="1" applyProtection="1">
      <alignment horizontal="center" vertical="center" wrapText="1"/>
      <protection hidden="1"/>
    </xf>
    <xf numFmtId="0" fontId="4" fillId="13" borderId="33" xfId="0" applyFont="1" applyFill="1" applyBorder="1" applyAlignment="1" applyProtection="1">
      <alignment horizontal="center" vertical="center" wrapText="1"/>
      <protection hidden="1"/>
    </xf>
    <xf numFmtId="9" fontId="2" fillId="13" borderId="33" xfId="0" applyNumberFormat="1" applyFont="1" applyFill="1" applyBorder="1" applyAlignment="1" applyProtection="1">
      <alignment horizontal="center" vertical="center" wrapText="1"/>
      <protection hidden="1"/>
    </xf>
    <xf numFmtId="0" fontId="2" fillId="13" borderId="33" xfId="0" applyFont="1" applyFill="1" applyBorder="1" applyAlignment="1" applyProtection="1">
      <alignment horizontal="center" vertical="center"/>
      <protection hidden="1"/>
    </xf>
    <xf numFmtId="0" fontId="2" fillId="13" borderId="35" xfId="0" applyFont="1" applyFill="1" applyBorder="1" applyAlignment="1" applyProtection="1">
      <alignment horizontal="center" vertical="center" wrapText="1"/>
      <protection hidden="1"/>
    </xf>
    <xf numFmtId="0" fontId="4" fillId="13" borderId="7" xfId="0" applyFont="1" applyFill="1" applyBorder="1" applyAlignment="1" applyProtection="1">
      <alignment horizontal="center" vertical="center" wrapText="1"/>
      <protection hidden="1"/>
    </xf>
    <xf numFmtId="0" fontId="2" fillId="13" borderId="86" xfId="0" applyFont="1" applyFill="1" applyBorder="1" applyAlignment="1" applyProtection="1">
      <alignment horizontal="center" vertical="center" wrapText="1"/>
      <protection hidden="1"/>
    </xf>
    <xf numFmtId="0" fontId="2" fillId="13" borderId="7" xfId="0" applyFont="1" applyFill="1" applyBorder="1" applyAlignment="1" applyProtection="1">
      <alignment horizontal="center" vertical="center" wrapText="1"/>
      <protection hidden="1"/>
    </xf>
    <xf numFmtId="0" fontId="2" fillId="13" borderId="43" xfId="0" applyFont="1" applyFill="1" applyBorder="1" applyAlignment="1" applyProtection="1">
      <alignment horizontal="center" vertical="center" wrapText="1"/>
      <protection hidden="1"/>
    </xf>
    <xf numFmtId="0" fontId="51" fillId="2" borderId="0" xfId="0" applyFont="1" applyFill="1" applyAlignment="1" applyProtection="1">
      <alignment horizontal="right" vertical="center"/>
      <protection hidden="1"/>
    </xf>
    <xf numFmtId="0" fontId="4" fillId="10" borderId="4" xfId="0" applyFont="1" applyFill="1" applyBorder="1" applyAlignment="1" applyProtection="1">
      <alignment horizontal="center" vertical="center" wrapText="1"/>
      <protection hidden="1"/>
    </xf>
    <xf numFmtId="0" fontId="0" fillId="10" borderId="100" xfId="0" applyFill="1" applyBorder="1" applyAlignment="1">
      <alignment horizontal="center" vertical="center" wrapText="1"/>
    </xf>
    <xf numFmtId="0" fontId="40" fillId="2" borderId="0" xfId="2" applyFont="1" applyFill="1" applyAlignment="1" applyProtection="1">
      <alignment horizontal="left"/>
      <protection hidden="1"/>
    </xf>
    <xf numFmtId="0" fontId="30" fillId="2" borderId="0" xfId="2" applyFont="1" applyFill="1" applyAlignment="1" applyProtection="1">
      <alignment vertical="center"/>
      <protection hidden="1"/>
    </xf>
    <xf numFmtId="10" fontId="38" fillId="2" borderId="1" xfId="2" applyNumberFormat="1" applyFont="1" applyFill="1" applyBorder="1" applyAlignment="1" applyProtection="1">
      <alignment vertical="center"/>
      <protection hidden="1"/>
    </xf>
    <xf numFmtId="0" fontId="56" fillId="2" borderId="85" xfId="2" applyFont="1" applyFill="1" applyBorder="1" applyAlignment="1" applyProtection="1">
      <alignment vertical="center" wrapText="1"/>
      <protection hidden="1"/>
    </xf>
    <xf numFmtId="0" fontId="56" fillId="2" borderId="0" xfId="2" applyFont="1" applyFill="1" applyBorder="1" applyAlignment="1" applyProtection="1">
      <alignment vertical="center" wrapText="1"/>
      <protection hidden="1"/>
    </xf>
    <xf numFmtId="180" fontId="42" fillId="5" borderId="1" xfId="2" applyNumberFormat="1" applyFont="1" applyFill="1" applyBorder="1" applyAlignment="1" applyProtection="1">
      <alignment vertical="center"/>
      <protection locked="0"/>
    </xf>
    <xf numFmtId="0" fontId="56" fillId="2" borderId="85" xfId="2" applyFont="1" applyFill="1" applyBorder="1" applyAlignment="1" applyProtection="1">
      <alignment vertical="center"/>
      <protection hidden="1"/>
    </xf>
    <xf numFmtId="0" fontId="53" fillId="2" borderId="1" xfId="3" applyFont="1" applyFill="1" applyBorder="1" applyAlignment="1" applyProtection="1">
      <alignment horizontal="center" vertical="center" wrapText="1"/>
      <protection hidden="1"/>
    </xf>
    <xf numFmtId="180" fontId="4" fillId="2" borderId="1" xfId="2" applyNumberFormat="1" applyFont="1" applyFill="1" applyBorder="1" applyAlignment="1" applyProtection="1">
      <alignment vertical="center"/>
      <protection hidden="1"/>
    </xf>
    <xf numFmtId="178" fontId="4" fillId="2" borderId="1" xfId="2" applyNumberFormat="1" applyFont="1" applyFill="1" applyBorder="1" applyAlignment="1" applyProtection="1">
      <alignment horizontal="center" vertical="center" wrapText="1"/>
      <protection hidden="1"/>
    </xf>
    <xf numFmtId="0" fontId="13" fillId="2" borderId="1" xfId="2" applyFont="1" applyFill="1" applyBorder="1" applyAlignment="1" applyProtection="1">
      <alignment horizontal="center" vertical="center" wrapText="1"/>
      <protection hidden="1"/>
    </xf>
    <xf numFmtId="10" fontId="13" fillId="2" borderId="1" xfId="2" applyNumberFormat="1" applyFont="1" applyFill="1" applyBorder="1" applyAlignment="1" applyProtection="1">
      <alignment vertical="center"/>
      <protection hidden="1"/>
    </xf>
    <xf numFmtId="0" fontId="44" fillId="12" borderId="89" xfId="2" applyFont="1" applyFill="1" applyBorder="1" applyAlignment="1" applyProtection="1">
      <alignment horizontal="center" vertical="center" wrapText="1"/>
      <protection hidden="1"/>
    </xf>
    <xf numFmtId="0" fontId="10" fillId="2" borderId="89" xfId="2" applyFont="1" applyFill="1" applyBorder="1" applyAlignment="1" applyProtection="1">
      <alignment horizontal="center" vertical="center" wrapText="1"/>
      <protection hidden="1"/>
    </xf>
    <xf numFmtId="181" fontId="10" fillId="3" borderId="89" xfId="2" applyNumberFormat="1" applyFont="1" applyFill="1" applyBorder="1" applyAlignment="1" applyProtection="1">
      <alignment horizontal="center" vertical="center" wrapText="1"/>
      <protection hidden="1"/>
    </xf>
    <xf numFmtId="181" fontId="10" fillId="2" borderId="89" xfId="2" applyNumberFormat="1" applyFont="1" applyFill="1" applyBorder="1" applyAlignment="1" applyProtection="1">
      <alignment horizontal="center" vertical="center" wrapText="1"/>
      <protection hidden="1"/>
    </xf>
    <xf numFmtId="0" fontId="13" fillId="2" borderId="89" xfId="2" applyFont="1" applyFill="1" applyBorder="1" applyAlignment="1" applyProtection="1">
      <alignment horizontal="center" vertical="center"/>
      <protection hidden="1"/>
    </xf>
    <xf numFmtId="0" fontId="4" fillId="2" borderId="4" xfId="2" applyFont="1" applyFill="1" applyBorder="1" applyAlignment="1" applyProtection="1">
      <alignment horizontal="center" vertical="center"/>
      <protection hidden="1"/>
    </xf>
    <xf numFmtId="0" fontId="10" fillId="2" borderId="0" xfId="2" applyFont="1" applyFill="1" applyBorder="1" applyAlignment="1" applyProtection="1">
      <alignment horizontal="center" vertical="center" wrapText="1"/>
      <protection hidden="1"/>
    </xf>
    <xf numFmtId="0" fontId="13" fillId="2" borderId="0" xfId="2" applyFont="1" applyFill="1" applyBorder="1" applyAlignment="1" applyProtection="1">
      <alignment horizontal="right" vertical="center"/>
      <protection hidden="1"/>
    </xf>
    <xf numFmtId="0" fontId="96" fillId="12" borderId="97" xfId="2" applyFont="1" applyFill="1" applyBorder="1" applyAlignment="1" applyProtection="1">
      <alignment horizontal="center" vertical="center" wrapText="1"/>
      <protection hidden="1"/>
    </xf>
    <xf numFmtId="49" fontId="10" fillId="2" borderId="11" xfId="2" applyNumberFormat="1" applyFont="1" applyFill="1" applyBorder="1" applyAlignment="1" applyProtection="1">
      <alignment horizontal="center" vertical="center"/>
      <protection hidden="1"/>
    </xf>
    <xf numFmtId="186" fontId="44" fillId="3" borderId="3" xfId="2" applyNumberFormat="1" applyFont="1" applyFill="1" applyBorder="1" applyAlignment="1" applyProtection="1">
      <alignment horizontal="center" vertical="center"/>
      <protection hidden="1"/>
    </xf>
    <xf numFmtId="185" fontId="11" fillId="2" borderId="3" xfId="2" applyNumberFormat="1" applyFont="1" applyFill="1" applyBorder="1" applyAlignment="1" applyProtection="1">
      <alignment horizontal="center" vertical="center"/>
      <protection hidden="1"/>
    </xf>
    <xf numFmtId="10" fontId="13" fillId="2" borderId="3" xfId="2" applyNumberFormat="1" applyFont="1" applyFill="1" applyBorder="1" applyAlignment="1" applyProtection="1">
      <alignment horizontal="center" vertical="center"/>
      <protection hidden="1"/>
    </xf>
    <xf numFmtId="10" fontId="11" fillId="2" borderId="1" xfId="7" applyNumberFormat="1" applyFont="1" applyFill="1" applyBorder="1" applyAlignment="1" applyProtection="1">
      <alignment horizontal="center" vertical="center"/>
      <protection hidden="1"/>
    </xf>
    <xf numFmtId="0" fontId="109" fillId="2" borderId="3" xfId="2" applyFont="1" applyFill="1" applyBorder="1" applyAlignment="1" applyProtection="1">
      <alignment horizontal="center" vertical="center" wrapText="1"/>
      <protection hidden="1"/>
    </xf>
    <xf numFmtId="187" fontId="110" fillId="2" borderId="0" xfId="2" applyNumberFormat="1" applyFont="1" applyFill="1" applyAlignment="1" applyProtection="1">
      <alignment horizontal="left"/>
      <protection hidden="1"/>
    </xf>
    <xf numFmtId="0" fontId="13" fillId="2" borderId="0" xfId="2" applyFont="1" applyFill="1" applyAlignment="1" applyProtection="1">
      <protection hidden="1"/>
    </xf>
    <xf numFmtId="0" fontId="56" fillId="23" borderId="0" xfId="2" applyFont="1" applyFill="1" applyAlignment="1" applyProtection="1">
      <alignment horizontal="center" vertical="center"/>
      <protection hidden="1"/>
    </xf>
    <xf numFmtId="181" fontId="111" fillId="23" borderId="0" xfId="2" applyNumberFormat="1" applyFont="1" applyFill="1" applyBorder="1" applyAlignment="1" applyProtection="1">
      <alignment horizontal="center" vertical="center" wrapText="1"/>
      <protection hidden="1"/>
    </xf>
    <xf numFmtId="181" fontId="37" fillId="23" borderId="0" xfId="2" applyNumberFormat="1" applyFont="1" applyFill="1" applyBorder="1" applyAlignment="1" applyProtection="1">
      <alignment horizontal="center" vertical="center" wrapText="1"/>
      <protection hidden="1"/>
    </xf>
    <xf numFmtId="0" fontId="13" fillId="23" borderId="0" xfId="2" applyFont="1" applyFill="1" applyAlignment="1" applyProtection="1">
      <alignment vertical="center"/>
      <protection hidden="1"/>
    </xf>
    <xf numFmtId="0" fontId="13" fillId="23" borderId="0" xfId="2" applyFont="1" applyFill="1" applyAlignment="1" applyProtection="1">
      <alignment horizontal="center" vertical="center"/>
      <protection hidden="1"/>
    </xf>
    <xf numFmtId="10" fontId="13" fillId="23" borderId="0" xfId="2" applyNumberFormat="1" applyFont="1" applyFill="1" applyAlignment="1" applyProtection="1">
      <alignment horizontal="center" vertical="center"/>
      <protection hidden="1"/>
    </xf>
    <xf numFmtId="0" fontId="56" fillId="2" borderId="1" xfId="2" applyFont="1" applyFill="1" applyBorder="1" applyAlignment="1" applyProtection="1">
      <alignment horizontal="center" vertical="center" wrapText="1"/>
      <protection hidden="1"/>
    </xf>
    <xf numFmtId="180" fontId="112" fillId="5" borderId="1" xfId="2" applyNumberFormat="1" applyFont="1" applyFill="1" applyBorder="1" applyAlignment="1" applyProtection="1">
      <alignment horizontal="center" vertical="center"/>
      <protection locked="0"/>
    </xf>
    <xf numFmtId="0" fontId="102" fillId="2" borderId="0" xfId="2" applyFont="1" applyFill="1" applyAlignment="1" applyProtection="1">
      <alignment vertical="center"/>
      <protection hidden="1"/>
    </xf>
    <xf numFmtId="0" fontId="93" fillId="19" borderId="1" xfId="0" applyFont="1" applyFill="1" applyBorder="1" applyAlignment="1" applyProtection="1">
      <alignment horizontal="center" vertical="center" wrapText="1"/>
      <protection hidden="1"/>
    </xf>
    <xf numFmtId="0" fontId="94" fillId="20" borderId="90" xfId="0" applyFont="1" applyFill="1" applyBorder="1" applyAlignment="1" applyProtection="1">
      <alignment horizontal="center" vertical="center" wrapText="1"/>
      <protection hidden="1"/>
    </xf>
    <xf numFmtId="0" fontId="93" fillId="19" borderId="91" xfId="0" applyFont="1" applyFill="1" applyBorder="1" applyAlignment="1" applyProtection="1">
      <alignment horizontal="center" vertical="center" wrapText="1"/>
      <protection hidden="1"/>
    </xf>
    <xf numFmtId="0" fontId="93" fillId="19" borderId="92" xfId="0" applyFont="1" applyFill="1" applyBorder="1" applyAlignment="1" applyProtection="1">
      <alignment horizontal="center" vertical="center" wrapText="1"/>
      <protection hidden="1"/>
    </xf>
    <xf numFmtId="0" fontId="96" fillId="0" borderId="89" xfId="0" applyFont="1" applyFill="1" applyBorder="1" applyAlignment="1" applyProtection="1">
      <alignment horizontal="center" vertical="center"/>
      <protection hidden="1"/>
    </xf>
    <xf numFmtId="0" fontId="96" fillId="0" borderId="16" xfId="0" applyFont="1" applyFill="1" applyBorder="1" applyAlignment="1" applyProtection="1">
      <alignment horizontal="center" vertical="center"/>
      <protection hidden="1"/>
    </xf>
    <xf numFmtId="179" fontId="4" fillId="2" borderId="4" xfId="1" applyNumberFormat="1" applyFont="1" applyFill="1" applyBorder="1" applyAlignment="1" applyProtection="1">
      <alignment horizontal="center" vertical="center"/>
      <protection hidden="1"/>
    </xf>
    <xf numFmtId="181" fontId="10" fillId="3" borderId="10" xfId="1" applyNumberFormat="1" applyFont="1" applyFill="1" applyBorder="1" applyAlignment="1" applyProtection="1">
      <alignment horizontal="center" vertical="center"/>
      <protection hidden="1"/>
    </xf>
    <xf numFmtId="183" fontId="4" fillId="3" borderId="93" xfId="0" applyNumberFormat="1" applyFont="1" applyFill="1" applyBorder="1" applyAlignment="1" applyProtection="1">
      <alignment horizontal="center" vertical="center"/>
      <protection hidden="1"/>
    </xf>
    <xf numFmtId="0" fontId="15" fillId="2" borderId="1" xfId="0" applyFont="1" applyFill="1" applyBorder="1" applyAlignment="1" applyProtection="1">
      <alignment horizontal="center" vertical="center"/>
      <protection hidden="1"/>
    </xf>
    <xf numFmtId="0" fontId="4" fillId="10" borderId="1" xfId="5" applyFont="1" applyFill="1" applyBorder="1" applyAlignment="1" applyProtection="1">
      <alignment horizontal="center" vertical="center" wrapText="1"/>
      <protection hidden="1"/>
    </xf>
    <xf numFmtId="0" fontId="4" fillId="10" borderId="1" xfId="0" applyFont="1" applyFill="1" applyBorder="1" applyAlignment="1" applyProtection="1">
      <alignment horizontal="center" vertical="center" wrapText="1"/>
      <protection hidden="1"/>
    </xf>
    <xf numFmtId="0" fontId="13" fillId="2" borderId="16" xfId="0" applyFont="1" applyFill="1" applyBorder="1" applyAlignment="1" applyProtection="1">
      <alignment horizontal="center" vertical="center"/>
      <protection hidden="1"/>
    </xf>
    <xf numFmtId="0" fontId="13" fillId="2" borderId="1" xfId="0" applyFont="1" applyFill="1" applyBorder="1" applyAlignment="1" applyProtection="1">
      <alignment horizontal="center" vertical="center"/>
      <protection hidden="1"/>
    </xf>
    <xf numFmtId="10" fontId="13" fillId="2" borderId="7" xfId="1" applyNumberFormat="1" applyFont="1" applyFill="1" applyBorder="1" applyAlignment="1" applyProtection="1">
      <alignment horizontal="center" vertical="center"/>
      <protection hidden="1"/>
    </xf>
    <xf numFmtId="0" fontId="13"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protection hidden="1"/>
    </xf>
    <xf numFmtId="0" fontId="93" fillId="19" borderId="108" xfId="0" applyFont="1" applyFill="1" applyBorder="1" applyAlignment="1" applyProtection="1">
      <alignment horizontal="center" vertical="center" wrapText="1"/>
      <protection hidden="1"/>
    </xf>
    <xf numFmtId="0" fontId="97" fillId="0" borderId="110" xfId="5" applyFont="1" applyBorder="1" applyAlignment="1">
      <alignment horizontal="center" vertical="center"/>
    </xf>
    <xf numFmtId="0" fontId="11" fillId="10" borderId="1" xfId="0" applyFont="1" applyFill="1" applyBorder="1" applyAlignment="1" applyProtection="1">
      <alignment horizontal="center" vertical="center" wrapText="1"/>
      <protection hidden="1"/>
    </xf>
    <xf numFmtId="180" fontId="102" fillId="2" borderId="0" xfId="0" applyNumberFormat="1" applyFont="1" applyFill="1" applyProtection="1">
      <alignment vertical="center"/>
      <protection hidden="1"/>
    </xf>
    <xf numFmtId="180" fontId="13" fillId="2" borderId="7" xfId="0" applyNumberFormat="1" applyFont="1" applyFill="1" applyBorder="1" applyAlignment="1" applyProtection="1">
      <alignment horizontal="center" vertical="center"/>
      <protection hidden="1"/>
    </xf>
    <xf numFmtId="179" fontId="4" fillId="2" borderId="7" xfId="1" applyNumberFormat="1" applyFont="1" applyFill="1" applyBorder="1" applyAlignment="1" applyProtection="1">
      <alignment horizontal="center" vertical="center"/>
      <protection hidden="1"/>
    </xf>
    <xf numFmtId="9" fontId="26" fillId="5" borderId="7" xfId="1" applyFont="1" applyFill="1" applyBorder="1" applyAlignment="1" applyProtection="1">
      <alignment horizontal="center" vertical="center"/>
      <protection locked="0"/>
    </xf>
    <xf numFmtId="0" fontId="0" fillId="0" borderId="0" xfId="0" applyBorder="1">
      <alignment vertical="center"/>
    </xf>
    <xf numFmtId="0" fontId="0" fillId="0" borderId="0" xfId="0" applyFill="1" applyBorder="1" applyAlignment="1">
      <alignment horizontal="center" vertical="center"/>
    </xf>
    <xf numFmtId="10" fontId="0" fillId="0" borderId="0" xfId="0" applyNumberFormat="1" applyBorder="1">
      <alignment vertical="center"/>
    </xf>
    <xf numFmtId="0" fontId="0" fillId="0" borderId="0" xfId="0" applyFill="1" applyBorder="1">
      <alignment vertical="center"/>
    </xf>
    <xf numFmtId="0" fontId="0" fillId="24" borderId="1" xfId="0" applyFill="1" applyBorder="1" applyAlignment="1">
      <alignment horizontal="center" vertical="center"/>
    </xf>
    <xf numFmtId="10" fontId="0" fillId="24" borderId="1" xfId="0" applyNumberFormat="1" applyFill="1" applyBorder="1" applyAlignment="1">
      <alignment horizontal="center" vertical="center"/>
    </xf>
    <xf numFmtId="0" fontId="12" fillId="2" borderId="1" xfId="0" applyFont="1" applyFill="1" applyBorder="1" applyAlignment="1" applyProtection="1">
      <alignment horizontal="center" vertical="center"/>
      <protection hidden="1"/>
    </xf>
    <xf numFmtId="183" fontId="116" fillId="3" borderId="93" xfId="0" applyNumberFormat="1" applyFont="1" applyFill="1" applyBorder="1" applyAlignment="1" applyProtection="1">
      <alignment horizontal="center" vertical="center"/>
      <protection hidden="1"/>
    </xf>
    <xf numFmtId="180" fontId="102" fillId="2" borderId="89" xfId="1" applyNumberFormat="1" applyFont="1" applyFill="1" applyBorder="1" applyAlignment="1" applyProtection="1">
      <alignment horizontal="center" vertical="center"/>
      <protection hidden="1"/>
    </xf>
    <xf numFmtId="10" fontId="102" fillId="2" borderId="89" xfId="1" applyNumberFormat="1" applyFont="1" applyFill="1" applyBorder="1" applyAlignment="1" applyProtection="1">
      <alignment horizontal="center" vertical="center"/>
      <protection hidden="1"/>
    </xf>
    <xf numFmtId="1" fontId="102" fillId="2" borderId="89" xfId="0" applyNumberFormat="1" applyFont="1" applyFill="1" applyBorder="1" applyAlignment="1" applyProtection="1">
      <alignment horizontal="center" vertical="center"/>
      <protection hidden="1"/>
    </xf>
    <xf numFmtId="0" fontId="102" fillId="2" borderId="16" xfId="0" applyFont="1" applyFill="1" applyBorder="1" applyAlignment="1" applyProtection="1">
      <alignment horizontal="center" vertical="center"/>
      <protection hidden="1"/>
    </xf>
    <xf numFmtId="0" fontId="12" fillId="2" borderId="93" xfId="0" applyFont="1" applyFill="1" applyBorder="1" applyAlignment="1" applyProtection="1">
      <alignment horizontal="center" vertical="center"/>
      <protection hidden="1"/>
    </xf>
    <xf numFmtId="0" fontId="102" fillId="2" borderId="8" xfId="0" applyFont="1" applyFill="1" applyBorder="1" applyAlignment="1" applyProtection="1">
      <alignment horizontal="center" vertical="center"/>
      <protection hidden="1"/>
    </xf>
    <xf numFmtId="183" fontId="116" fillId="3" borderId="89" xfId="0" applyNumberFormat="1" applyFont="1" applyFill="1" applyBorder="1" applyAlignment="1" applyProtection="1">
      <alignment horizontal="center" vertical="center"/>
      <protection hidden="1"/>
    </xf>
    <xf numFmtId="0" fontId="51" fillId="2" borderId="0" xfId="0" applyFont="1" applyFill="1" applyAlignment="1" applyProtection="1">
      <alignment vertical="center"/>
      <protection hidden="1"/>
    </xf>
    <xf numFmtId="188" fontId="13" fillId="2" borderId="1" xfId="1" applyNumberFormat="1" applyFont="1" applyFill="1" applyBorder="1" applyAlignment="1" applyProtection="1">
      <alignment horizontal="center" vertical="center"/>
      <protection hidden="1"/>
    </xf>
    <xf numFmtId="0" fontId="4" fillId="2" borderId="1" xfId="0" applyFont="1" applyFill="1" applyBorder="1" applyAlignment="1" applyProtection="1">
      <alignment horizontal="center" vertical="center"/>
      <protection hidden="1"/>
    </xf>
    <xf numFmtId="0" fontId="33" fillId="2" borderId="85" xfId="5" applyFill="1" applyBorder="1" applyAlignment="1" applyProtection="1">
      <alignment vertical="center" wrapText="1"/>
      <protection hidden="1"/>
    </xf>
    <xf numFmtId="0" fontId="33" fillId="2" borderId="0" xfId="5" applyFill="1" applyAlignment="1" applyProtection="1">
      <alignment vertical="center" wrapText="1"/>
      <protection hidden="1"/>
    </xf>
    <xf numFmtId="0" fontId="33" fillId="2" borderId="0" xfId="5" applyFill="1" applyBorder="1" applyAlignment="1" applyProtection="1">
      <alignment vertical="center" wrapText="1"/>
      <protection hidden="1"/>
    </xf>
    <xf numFmtId="0" fontId="11" fillId="2" borderId="4" xfId="0" applyFont="1" applyFill="1" applyBorder="1" applyAlignment="1" applyProtection="1">
      <alignment horizontal="center" vertical="center"/>
      <protection hidden="1"/>
    </xf>
    <xf numFmtId="0" fontId="13" fillId="2" borderId="1" xfId="0" applyFont="1" applyFill="1" applyBorder="1" applyAlignment="1" applyProtection="1">
      <alignment horizontal="center" vertical="center"/>
      <protection hidden="1"/>
    </xf>
    <xf numFmtId="180" fontId="13" fillId="2" borderId="1" xfId="1" applyNumberFormat="1" applyFont="1" applyFill="1" applyBorder="1" applyAlignment="1" applyProtection="1">
      <alignment horizontal="center" vertical="center"/>
      <protection hidden="1"/>
    </xf>
    <xf numFmtId="10" fontId="13" fillId="2" borderId="1" xfId="1" applyNumberFormat="1" applyFont="1" applyFill="1" applyBorder="1" applyAlignment="1" applyProtection="1">
      <alignment horizontal="center" vertical="center"/>
      <protection hidden="1"/>
    </xf>
    <xf numFmtId="1" fontId="13" fillId="2" borderId="1" xfId="0" applyNumberFormat="1" applyFont="1" applyFill="1" applyBorder="1" applyAlignment="1" applyProtection="1">
      <alignment horizontal="center" vertical="center"/>
      <protection hidden="1"/>
    </xf>
    <xf numFmtId="0" fontId="101" fillId="2" borderId="1" xfId="0" applyFont="1" applyFill="1" applyBorder="1" applyAlignment="1" applyProtection="1">
      <alignment horizontal="center" vertical="center" wrapText="1"/>
      <protection hidden="1"/>
    </xf>
    <xf numFmtId="10" fontId="0" fillId="0" borderId="1" xfId="0" applyNumberFormat="1" applyFill="1" applyBorder="1" applyAlignment="1">
      <alignment horizontal="center" vertical="center"/>
    </xf>
    <xf numFmtId="10" fontId="119" fillId="0" borderId="1" xfId="0" applyNumberFormat="1" applyFont="1" applyBorder="1" applyAlignment="1">
      <alignment horizontal="center" vertical="center"/>
    </xf>
    <xf numFmtId="10" fontId="119" fillId="24" borderId="1" xfId="0" applyNumberFormat="1" applyFont="1" applyFill="1" applyBorder="1" applyAlignment="1">
      <alignment horizontal="center" vertical="center"/>
    </xf>
    <xf numFmtId="10" fontId="119" fillId="0" borderId="1" xfId="0" applyNumberFormat="1" applyFont="1" applyBorder="1">
      <alignment vertical="center"/>
    </xf>
    <xf numFmtId="0" fontId="7" fillId="7" borderId="1" xfId="0" applyFont="1" applyFill="1" applyBorder="1" applyAlignment="1">
      <alignment horizontal="center" vertical="center"/>
    </xf>
    <xf numFmtId="0" fontId="7" fillId="11" borderId="1" xfId="0" applyFont="1" applyFill="1" applyBorder="1" applyAlignment="1">
      <alignment horizontal="center" vertical="center"/>
    </xf>
    <xf numFmtId="10" fontId="0" fillId="0" borderId="1" xfId="0" applyNumberFormat="1" applyFont="1" applyBorder="1" applyAlignment="1">
      <alignment horizontal="center" vertical="center"/>
    </xf>
    <xf numFmtId="0" fontId="0" fillId="0" borderId="1" xfId="0" applyFont="1" applyBorder="1" applyAlignment="1">
      <alignment horizontal="center" vertical="center"/>
    </xf>
    <xf numFmtId="0" fontId="10" fillId="2" borderId="17" xfId="2" applyFont="1" applyFill="1" applyBorder="1" applyAlignment="1" applyProtection="1">
      <alignment horizontal="center" vertical="center" wrapText="1"/>
      <protection hidden="1"/>
    </xf>
    <xf numFmtId="0" fontId="27" fillId="7" borderId="3" xfId="0" applyFont="1" applyFill="1" applyBorder="1" applyAlignment="1">
      <alignment horizontal="center" vertical="center"/>
    </xf>
    <xf numFmtId="0" fontId="7" fillId="7" borderId="3" xfId="0" applyFont="1" applyFill="1" applyBorder="1" applyAlignment="1">
      <alignment horizontal="center" vertical="center"/>
    </xf>
    <xf numFmtId="10" fontId="13" fillId="2" borderId="7" xfId="1" applyNumberFormat="1" applyFont="1" applyFill="1" applyBorder="1" applyAlignment="1" applyProtection="1">
      <alignment horizontal="center" vertical="center"/>
      <protection hidden="1"/>
    </xf>
    <xf numFmtId="0" fontId="11" fillId="2" borderId="4" xfId="0" applyFont="1" applyFill="1" applyBorder="1" applyAlignment="1" applyProtection="1">
      <alignment horizontal="center" vertical="center"/>
      <protection hidden="1"/>
    </xf>
    <xf numFmtId="0" fontId="13" fillId="2" borderId="1" xfId="0" applyFont="1" applyFill="1" applyBorder="1" applyAlignment="1" applyProtection="1">
      <alignment horizontal="center" vertical="center"/>
      <protection hidden="1"/>
    </xf>
    <xf numFmtId="180" fontId="13" fillId="2" borderId="1" xfId="1" applyNumberFormat="1" applyFont="1" applyFill="1" applyBorder="1" applyAlignment="1" applyProtection="1">
      <alignment horizontal="center" vertical="center"/>
      <protection hidden="1"/>
    </xf>
    <xf numFmtId="10" fontId="13" fillId="2" borderId="1" xfId="1" applyNumberFormat="1" applyFont="1" applyFill="1" applyBorder="1" applyAlignment="1" applyProtection="1">
      <alignment horizontal="center" vertical="center"/>
      <protection hidden="1"/>
    </xf>
    <xf numFmtId="1" fontId="13" fillId="2" borderId="1" xfId="0" applyNumberFormat="1" applyFont="1" applyFill="1" applyBorder="1" applyAlignment="1" applyProtection="1">
      <alignment horizontal="center" vertical="center"/>
      <protection hidden="1"/>
    </xf>
    <xf numFmtId="0" fontId="101" fillId="2" borderId="1" xfId="0" applyFont="1" applyFill="1" applyBorder="1" applyAlignment="1" applyProtection="1">
      <alignment horizontal="center" vertical="center" wrapText="1"/>
      <protection hidden="1"/>
    </xf>
    <xf numFmtId="0" fontId="55" fillId="2" borderId="0" xfId="2" applyFont="1" applyFill="1" applyBorder="1" applyAlignment="1" applyProtection="1">
      <protection hidden="1"/>
    </xf>
    <xf numFmtId="181" fontId="56" fillId="2" borderId="0" xfId="2" applyNumberFormat="1" applyFont="1" applyFill="1" applyBorder="1" applyAlignment="1" applyProtection="1">
      <alignment horizontal="center" vertical="center"/>
      <protection hidden="1"/>
    </xf>
    <xf numFmtId="0" fontId="13" fillId="2" borderId="0" xfId="2" applyFont="1" applyFill="1" applyBorder="1" applyAlignment="1" applyProtection="1">
      <alignment horizontal="center" vertical="center"/>
      <protection hidden="1"/>
    </xf>
    <xf numFmtId="0" fontId="13" fillId="2" borderId="0" xfId="2" applyFont="1" applyFill="1" applyBorder="1" applyAlignment="1" applyProtection="1">
      <alignment vertical="center"/>
      <protection hidden="1"/>
    </xf>
    <xf numFmtId="10" fontId="13" fillId="2" borderId="0" xfId="2" applyNumberFormat="1" applyFont="1" applyFill="1" applyBorder="1" applyAlignment="1" applyProtection="1">
      <alignment horizontal="center" vertical="center"/>
      <protection hidden="1"/>
    </xf>
    <xf numFmtId="0" fontId="55" fillId="2" borderId="0" xfId="2" applyFont="1" applyFill="1" applyBorder="1" applyAlignment="1" applyProtection="1">
      <alignment vertical="center"/>
      <protection hidden="1"/>
    </xf>
    <xf numFmtId="0" fontId="55" fillId="2" borderId="0" xfId="2" applyFont="1" applyFill="1" applyBorder="1" applyAlignment="1" applyProtection="1">
      <alignment horizontal="left" vertical="center"/>
      <protection hidden="1"/>
    </xf>
    <xf numFmtId="0" fontId="97" fillId="0" borderId="111" xfId="5" applyFont="1" applyBorder="1" applyAlignment="1">
      <alignment horizontal="center" vertical="center"/>
    </xf>
    <xf numFmtId="0" fontId="120" fillId="0" borderId="1" xfId="0" applyFont="1" applyFill="1" applyBorder="1" applyAlignment="1">
      <alignment horizontal="center" vertical="center"/>
    </xf>
    <xf numFmtId="180" fontId="13" fillId="2" borderId="1" xfId="1" applyNumberFormat="1" applyFont="1" applyFill="1" applyBorder="1" applyAlignment="1" applyProtection="1">
      <alignment horizontal="center" vertical="center"/>
      <protection hidden="1"/>
    </xf>
    <xf numFmtId="10" fontId="13" fillId="2" borderId="1" xfId="1" applyNumberFormat="1" applyFont="1" applyFill="1" applyBorder="1" applyAlignment="1" applyProtection="1">
      <alignment horizontal="center" vertical="center"/>
      <protection hidden="1"/>
    </xf>
    <xf numFmtId="1" fontId="13" fillId="2" borderId="1" xfId="0" applyNumberFormat="1" applyFont="1" applyFill="1" applyBorder="1" applyAlignment="1" applyProtection="1">
      <alignment horizontal="center" vertical="center"/>
      <protection hidden="1"/>
    </xf>
    <xf numFmtId="0" fontId="97" fillId="0" borderId="98" xfId="5" applyFont="1" applyBorder="1" applyAlignment="1">
      <alignment horizontal="center" vertical="top"/>
    </xf>
    <xf numFmtId="0" fontId="97" fillId="0" borderId="96" xfId="5" applyFont="1" applyBorder="1" applyAlignment="1">
      <alignment horizontal="center"/>
    </xf>
    <xf numFmtId="0" fontId="115" fillId="0" borderId="0" xfId="0" applyFont="1" applyFill="1" applyBorder="1">
      <alignment vertical="center"/>
    </xf>
    <xf numFmtId="0" fontId="120" fillId="0" borderId="0" xfId="0" applyFont="1" applyFill="1" applyBorder="1" applyAlignment="1">
      <alignment horizontal="center" vertical="center"/>
    </xf>
    <xf numFmtId="10" fontId="120" fillId="0" borderId="0" xfId="0" applyNumberFormat="1" applyFont="1" applyBorder="1">
      <alignment vertical="center"/>
    </xf>
    <xf numFmtId="0" fontId="7" fillId="0" borderId="1" xfId="0" applyFont="1" applyFill="1" applyBorder="1">
      <alignment vertical="center"/>
    </xf>
    <xf numFmtId="0" fontId="7" fillId="0" borderId="1" xfId="0" applyFont="1" applyFill="1" applyBorder="1" applyAlignment="1">
      <alignment horizontal="center" vertical="center"/>
    </xf>
    <xf numFmtId="10" fontId="7" fillId="0" borderId="1" xfId="0" applyNumberFormat="1" applyFont="1" applyBorder="1">
      <alignment vertical="center"/>
    </xf>
    <xf numFmtId="0" fontId="7" fillId="0" borderId="0" xfId="0" applyFont="1">
      <alignment vertical="center"/>
    </xf>
    <xf numFmtId="0" fontId="10" fillId="16" borderId="1" xfId="0" applyFont="1" applyFill="1" applyBorder="1" applyAlignment="1" applyProtection="1">
      <alignment horizontal="center" vertical="center"/>
      <protection hidden="1"/>
    </xf>
    <xf numFmtId="180" fontId="4" fillId="2" borderId="4" xfId="0" applyNumberFormat="1" applyFont="1" applyFill="1" applyBorder="1" applyAlignment="1" applyProtection="1">
      <alignment horizontal="center" vertical="center"/>
      <protection hidden="1"/>
    </xf>
    <xf numFmtId="0" fontId="13" fillId="2" borderId="1" xfId="0" applyFont="1" applyFill="1" applyBorder="1" applyAlignment="1" applyProtection="1">
      <alignment vertical="center"/>
      <protection hidden="1"/>
    </xf>
    <xf numFmtId="3" fontId="121" fillId="10" borderId="100" xfId="0" applyNumberFormat="1" applyFont="1" applyFill="1" applyBorder="1" applyAlignment="1">
      <alignment horizontal="center" vertical="center"/>
    </xf>
    <xf numFmtId="0" fontId="96" fillId="10" borderId="12" xfId="2" applyFont="1" applyFill="1" applyBorder="1" applyAlignment="1" applyProtection="1">
      <alignment horizontal="center" vertical="center" wrapText="1"/>
      <protection hidden="1"/>
    </xf>
    <xf numFmtId="0" fontId="96" fillId="10" borderId="95" xfId="2" applyFont="1" applyFill="1" applyBorder="1" applyAlignment="1" applyProtection="1">
      <alignment horizontal="center" vertical="center" wrapText="1"/>
      <protection hidden="1"/>
    </xf>
    <xf numFmtId="0" fontId="96" fillId="10" borderId="97" xfId="2" applyFont="1" applyFill="1" applyBorder="1" applyAlignment="1" applyProtection="1">
      <alignment horizontal="center" vertical="center" wrapText="1"/>
      <protection hidden="1"/>
    </xf>
    <xf numFmtId="0" fontId="97" fillId="0" borderId="16" xfId="5" applyFont="1" applyBorder="1" applyAlignment="1" applyProtection="1">
      <alignment horizontal="center" vertical="center"/>
      <protection locked="0"/>
    </xf>
    <xf numFmtId="0" fontId="97" fillId="0" borderId="93" xfId="5" applyFont="1" applyBorder="1" applyAlignment="1" applyProtection="1">
      <alignment horizontal="center" vertical="center"/>
      <protection locked="0"/>
    </xf>
    <xf numFmtId="10" fontId="96" fillId="0" borderId="94" xfId="0" applyNumberFormat="1" applyFont="1" applyFill="1" applyBorder="1" applyAlignment="1" applyProtection="1">
      <alignment horizontal="center" vertical="center" wrapText="1"/>
      <protection hidden="1"/>
    </xf>
    <xf numFmtId="0" fontId="96" fillId="0" borderId="94" xfId="0" applyFont="1" applyFill="1" applyBorder="1" applyAlignment="1" applyProtection="1">
      <alignment horizontal="center" vertical="center"/>
      <protection hidden="1"/>
    </xf>
    <xf numFmtId="0" fontId="96" fillId="0" borderId="12" xfId="5" applyFont="1" applyFill="1" applyBorder="1" applyAlignment="1" applyProtection="1">
      <alignment horizontal="center" vertical="center" wrapText="1"/>
      <protection hidden="1"/>
    </xf>
    <xf numFmtId="0" fontId="96" fillId="0" borderId="97" xfId="5" applyFont="1" applyFill="1" applyBorder="1" applyAlignment="1" applyProtection="1">
      <alignment horizontal="center" vertical="center" wrapText="1"/>
      <protection hidden="1"/>
    </xf>
    <xf numFmtId="0" fontId="44" fillId="0" borderId="12" xfId="2" applyFont="1" applyFill="1" applyBorder="1" applyAlignment="1" applyProtection="1">
      <alignment horizontal="center" vertical="center" wrapText="1"/>
      <protection hidden="1"/>
    </xf>
    <xf numFmtId="0" fontId="44" fillId="0" borderId="97" xfId="2" applyFont="1" applyFill="1" applyBorder="1" applyAlignment="1" applyProtection="1">
      <alignment horizontal="center" vertical="center" wrapText="1"/>
      <protection hidden="1"/>
    </xf>
    <xf numFmtId="0" fontId="96" fillId="0" borderId="12" xfId="2" applyFont="1" applyFill="1" applyBorder="1" applyAlignment="1" applyProtection="1">
      <alignment horizontal="center" vertical="center" wrapText="1"/>
      <protection hidden="1"/>
    </xf>
    <xf numFmtId="0" fontId="96" fillId="0" borderId="95" xfId="2" applyFont="1" applyFill="1" applyBorder="1" applyAlignment="1" applyProtection="1">
      <alignment horizontal="center" vertical="center" wrapText="1"/>
      <protection hidden="1"/>
    </xf>
    <xf numFmtId="0" fontId="96" fillId="0" borderId="97" xfId="2" applyFont="1" applyFill="1" applyBorder="1" applyAlignment="1" applyProtection="1">
      <alignment horizontal="center" vertical="center" wrapText="1"/>
      <protection hidden="1"/>
    </xf>
    <xf numFmtId="0" fontId="11" fillId="10" borderId="1" xfId="0" applyFont="1" applyFill="1" applyBorder="1" applyAlignment="1" applyProtection="1">
      <alignment horizontal="center" vertical="center" wrapText="1"/>
      <protection hidden="1"/>
    </xf>
    <xf numFmtId="0" fontId="44" fillId="0" borderId="7" xfId="0" applyFont="1" applyFill="1" applyBorder="1" applyAlignment="1" applyProtection="1">
      <alignment horizontal="center" vertical="center" wrapText="1"/>
      <protection hidden="1"/>
    </xf>
    <xf numFmtId="0" fontId="44" fillId="0" borderId="3" xfId="0" applyFont="1" applyFill="1" applyBorder="1" applyAlignment="1" applyProtection="1">
      <alignment horizontal="center" vertical="center" wrapText="1"/>
      <protection hidden="1"/>
    </xf>
    <xf numFmtId="0" fontId="44" fillId="0" borderId="2" xfId="0" applyFont="1" applyFill="1" applyBorder="1" applyAlignment="1" applyProtection="1">
      <alignment horizontal="center" vertical="center" wrapText="1"/>
      <protection hidden="1"/>
    </xf>
    <xf numFmtId="0" fontId="11" fillId="0" borderId="12" xfId="2" applyFont="1" applyFill="1" applyBorder="1" applyAlignment="1" applyProtection="1">
      <alignment horizontal="center" vertical="center" wrapText="1"/>
      <protection hidden="1"/>
    </xf>
    <xf numFmtId="0" fontId="11" fillId="0" borderId="95" xfId="2" applyFont="1" applyFill="1" applyBorder="1" applyAlignment="1" applyProtection="1">
      <alignment horizontal="center" vertical="center" wrapText="1"/>
      <protection hidden="1"/>
    </xf>
    <xf numFmtId="0" fontId="11" fillId="0" borderId="97" xfId="2" applyFont="1" applyFill="1" applyBorder="1" applyAlignment="1" applyProtection="1">
      <alignment horizontal="center" vertical="center" wrapText="1"/>
      <protection hidden="1"/>
    </xf>
    <xf numFmtId="10" fontId="11" fillId="0" borderId="7" xfId="0" applyNumberFormat="1" applyFont="1" applyFill="1" applyBorder="1" applyAlignment="1" applyProtection="1">
      <alignment horizontal="center" vertical="center" wrapText="1"/>
      <protection hidden="1"/>
    </xf>
    <xf numFmtId="0" fontId="11" fillId="0" borderId="3" xfId="0" applyFont="1" applyFill="1" applyBorder="1" applyAlignment="1" applyProtection="1">
      <alignment horizontal="center" vertical="center" wrapText="1"/>
      <protection hidden="1"/>
    </xf>
    <xf numFmtId="0" fontId="11" fillId="10" borderId="108" xfId="0" applyFont="1" applyFill="1" applyBorder="1" applyAlignment="1" applyProtection="1">
      <alignment horizontal="center" vertical="center" wrapText="1"/>
      <protection hidden="1"/>
    </xf>
    <xf numFmtId="0" fontId="11" fillId="10" borderId="109" xfId="0" applyFont="1" applyFill="1" applyBorder="1" applyAlignment="1" applyProtection="1">
      <alignment horizontal="center" vertical="center" wrapText="1"/>
      <protection hidden="1"/>
    </xf>
    <xf numFmtId="0" fontId="56" fillId="0" borderId="7" xfId="0" applyFont="1" applyFill="1" applyBorder="1" applyAlignment="1" applyProtection="1">
      <alignment horizontal="center" vertical="center" wrapText="1"/>
      <protection hidden="1"/>
    </xf>
    <xf numFmtId="0" fontId="56" fillId="0" borderId="2" xfId="0" applyFont="1" applyFill="1" applyBorder="1" applyAlignment="1" applyProtection="1">
      <alignment horizontal="center" vertical="center" wrapText="1"/>
      <protection hidden="1"/>
    </xf>
    <xf numFmtId="0" fontId="56" fillId="0" borderId="3" xfId="0" applyFont="1" applyFill="1" applyBorder="1" applyAlignment="1" applyProtection="1">
      <alignment horizontal="center" vertical="center" wrapText="1"/>
      <protection hidden="1"/>
    </xf>
    <xf numFmtId="0" fontId="59" fillId="0" borderId="0" xfId="2" applyFont="1" applyFill="1" applyBorder="1" applyAlignment="1" applyProtection="1">
      <alignment horizontal="center" vertical="top" wrapText="1"/>
      <protection hidden="1"/>
    </xf>
    <xf numFmtId="0" fontId="90" fillId="2" borderId="0" xfId="2" applyFont="1" applyFill="1" applyAlignment="1" applyProtection="1">
      <alignment horizontal="left" vertical="top" wrapText="1"/>
      <protection hidden="1"/>
    </xf>
    <xf numFmtId="0" fontId="91" fillId="2" borderId="0" xfId="2" applyFont="1" applyFill="1" applyAlignment="1" applyProtection="1">
      <alignment horizontal="left" vertical="top" wrapText="1"/>
      <protection hidden="1"/>
    </xf>
    <xf numFmtId="0" fontId="59" fillId="0" borderId="0" xfId="0" applyFont="1" applyFill="1" applyBorder="1" applyAlignment="1" applyProtection="1">
      <alignment horizontal="center" wrapText="1"/>
      <protection hidden="1"/>
    </xf>
    <xf numFmtId="0" fontId="93" fillId="19" borderId="12" xfId="2" applyFont="1" applyFill="1" applyBorder="1" applyAlignment="1" applyProtection="1">
      <alignment horizontal="center" vertical="center" wrapText="1"/>
      <protection hidden="1"/>
    </xf>
    <xf numFmtId="0" fontId="93" fillId="19" borderId="89" xfId="2" applyFont="1" applyFill="1" applyBorder="1" applyAlignment="1" applyProtection="1">
      <alignment horizontal="center" vertical="center" wrapText="1"/>
      <protection hidden="1"/>
    </xf>
    <xf numFmtId="0" fontId="44" fillId="0" borderId="89" xfId="2" applyFont="1" applyFill="1" applyBorder="1" applyAlignment="1" applyProtection="1">
      <alignment horizontal="center" vertical="center" wrapText="1"/>
      <protection hidden="1"/>
    </xf>
    <xf numFmtId="0" fontId="96" fillId="0" borderId="27" xfId="5" applyFont="1" applyFill="1" applyBorder="1" applyAlignment="1" applyProtection="1">
      <alignment horizontal="center" vertical="center" wrapText="1"/>
      <protection hidden="1"/>
    </xf>
    <xf numFmtId="0" fontId="96" fillId="0" borderId="22" xfId="5" applyFont="1" applyFill="1" applyBorder="1" applyAlignment="1" applyProtection="1">
      <alignment horizontal="center" vertical="center" wrapText="1"/>
      <protection hidden="1"/>
    </xf>
    <xf numFmtId="0" fontId="96" fillId="0" borderId="23" xfId="5" applyFont="1" applyFill="1" applyBorder="1" applyAlignment="1" applyProtection="1">
      <alignment horizontal="center" vertical="center" wrapText="1"/>
      <protection hidden="1"/>
    </xf>
    <xf numFmtId="0" fontId="96" fillId="0" borderId="107" xfId="0" applyFont="1" applyFill="1" applyBorder="1" applyAlignment="1" applyProtection="1">
      <alignment horizontal="center" vertical="center"/>
      <protection hidden="1"/>
    </xf>
    <xf numFmtId="0" fontId="0" fillId="0" borderId="12" xfId="0" applyBorder="1" applyAlignment="1">
      <alignment horizontal="center" vertical="center"/>
    </xf>
    <xf numFmtId="0" fontId="0" fillId="0" borderId="97" xfId="0" applyBorder="1" applyAlignment="1">
      <alignment horizontal="center" vertical="center"/>
    </xf>
    <xf numFmtId="0" fontId="7" fillId="7" borderId="7" xfId="0" applyFont="1" applyFill="1" applyBorder="1" applyAlignment="1">
      <alignment horizontal="center" vertical="center"/>
    </xf>
    <xf numFmtId="0" fontId="7" fillId="7" borderId="2" xfId="0" applyFont="1" applyFill="1" applyBorder="1" applyAlignment="1">
      <alignment horizontal="center" vertical="center"/>
    </xf>
    <xf numFmtId="0" fontId="7" fillId="7" borderId="3" xfId="0" applyFont="1" applyFill="1" applyBorder="1" applyAlignment="1">
      <alignment horizontal="center" vertical="center"/>
    </xf>
    <xf numFmtId="0" fontId="0" fillId="0" borderId="95" xfId="0" applyBorder="1" applyAlignment="1">
      <alignment horizontal="center" vertical="center"/>
    </xf>
    <xf numFmtId="0" fontId="7" fillId="0" borderId="12" xfId="0" applyFont="1" applyBorder="1" applyAlignment="1">
      <alignment horizontal="center" vertical="center"/>
    </xf>
    <xf numFmtId="0" fontId="7" fillId="0" borderId="95" xfId="0" applyFont="1" applyBorder="1" applyAlignment="1">
      <alignment horizontal="center" vertical="center"/>
    </xf>
    <xf numFmtId="0" fontId="7" fillId="0" borderId="97" xfId="0" applyFont="1" applyBorder="1" applyAlignment="1">
      <alignment horizontal="center" vertical="center"/>
    </xf>
    <xf numFmtId="0" fontId="2" fillId="9" borderId="0" xfId="0" applyFont="1" applyFill="1" applyAlignment="1" applyProtection="1">
      <alignment horizontal="left" vertical="top" wrapText="1"/>
      <protection hidden="1"/>
    </xf>
    <xf numFmtId="0" fontId="0" fillId="0" borderId="89" xfId="0" applyBorder="1" applyAlignment="1">
      <alignment horizontal="center" vertical="center"/>
    </xf>
    <xf numFmtId="0" fontId="27" fillId="7" borderId="7" xfId="0" applyFont="1" applyFill="1" applyBorder="1" applyAlignment="1">
      <alignment horizontal="center" vertical="center"/>
    </xf>
    <xf numFmtId="0" fontId="27" fillId="7" borderId="2" xfId="0" applyFont="1" applyFill="1" applyBorder="1" applyAlignment="1">
      <alignment horizontal="center" vertical="center"/>
    </xf>
    <xf numFmtId="0" fontId="27" fillId="7" borderId="3" xfId="0" applyFont="1" applyFill="1" applyBorder="1" applyAlignment="1">
      <alignment horizontal="center" vertical="center"/>
    </xf>
    <xf numFmtId="0" fontId="4" fillId="10" borderId="1" xfId="0" applyFont="1" applyFill="1" applyBorder="1" applyAlignment="1" applyProtection="1">
      <alignment horizontal="center" vertical="center" wrapText="1"/>
      <protection hidden="1"/>
    </xf>
    <xf numFmtId="0" fontId="4" fillId="10" borderId="5" xfId="0" applyFont="1" applyFill="1" applyBorder="1" applyAlignment="1" applyProtection="1">
      <alignment horizontal="center" vertical="center" wrapText="1"/>
      <protection hidden="1"/>
    </xf>
    <xf numFmtId="0" fontId="4" fillId="10" borderId="4" xfId="0" applyFont="1" applyFill="1" applyBorder="1" applyAlignment="1" applyProtection="1">
      <alignment horizontal="center" vertical="center" wrapText="1"/>
      <protection hidden="1"/>
    </xf>
    <xf numFmtId="0" fontId="0" fillId="0" borderId="7"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wrapText="1"/>
    </xf>
    <xf numFmtId="0" fontId="0" fillId="0" borderId="3" xfId="0" applyBorder="1" applyAlignment="1">
      <alignment horizontal="center" vertical="center" wrapText="1"/>
    </xf>
    <xf numFmtId="0" fontId="13" fillId="12" borderId="7" xfId="0" applyFont="1" applyFill="1" applyBorder="1" applyAlignment="1" applyProtection="1">
      <alignment horizontal="center" vertical="center" wrapText="1"/>
      <protection hidden="1"/>
    </xf>
    <xf numFmtId="0" fontId="13" fillId="12" borderId="2" xfId="0" applyFont="1" applyFill="1" applyBorder="1" applyAlignment="1" applyProtection="1">
      <alignment horizontal="center" vertical="center" wrapText="1"/>
      <protection hidden="1"/>
    </xf>
    <xf numFmtId="0" fontId="13" fillId="12" borderId="3" xfId="0" applyFont="1" applyFill="1" applyBorder="1" applyAlignment="1" applyProtection="1">
      <alignment horizontal="center" vertical="center" wrapText="1"/>
      <protection hidden="1"/>
    </xf>
    <xf numFmtId="0" fontId="17" fillId="5" borderId="1" xfId="0" applyFont="1" applyFill="1" applyBorder="1" applyAlignment="1" applyProtection="1">
      <alignment horizontal="center" vertical="center"/>
      <protection locked="0"/>
    </xf>
    <xf numFmtId="10" fontId="13" fillId="2" borderId="7" xfId="1" applyNumberFormat="1" applyFont="1" applyFill="1" applyBorder="1" applyAlignment="1" applyProtection="1">
      <alignment horizontal="center" vertical="center"/>
      <protection hidden="1"/>
    </xf>
    <xf numFmtId="10" fontId="13" fillId="2" borderId="3" xfId="1" applyNumberFormat="1" applyFont="1" applyFill="1" applyBorder="1" applyAlignment="1" applyProtection="1">
      <alignment horizontal="center" vertical="center"/>
      <protection hidden="1"/>
    </xf>
    <xf numFmtId="1" fontId="13" fillId="2" borderId="7" xfId="0" applyNumberFormat="1" applyFont="1" applyFill="1" applyBorder="1" applyAlignment="1" applyProtection="1">
      <alignment horizontal="center" vertical="center"/>
      <protection hidden="1"/>
    </xf>
    <xf numFmtId="1" fontId="13" fillId="2" borderId="3" xfId="0" applyNumberFormat="1" applyFont="1" applyFill="1" applyBorder="1" applyAlignment="1" applyProtection="1">
      <alignment horizontal="center" vertical="center"/>
      <protection hidden="1"/>
    </xf>
    <xf numFmtId="180" fontId="19" fillId="3" borderId="1" xfId="0" applyNumberFormat="1" applyFont="1" applyFill="1" applyBorder="1" applyAlignment="1" applyProtection="1">
      <alignment horizontal="center" vertical="center"/>
      <protection hidden="1"/>
    </xf>
    <xf numFmtId="176" fontId="22" fillId="2" borderId="1" xfId="0" applyNumberFormat="1" applyFont="1" applyFill="1" applyBorder="1" applyAlignment="1" applyProtection="1">
      <alignment horizontal="center" vertical="center"/>
      <protection hidden="1"/>
    </xf>
    <xf numFmtId="179" fontId="13" fillId="2" borderId="1" xfId="0" applyNumberFormat="1" applyFont="1" applyFill="1" applyBorder="1" applyAlignment="1" applyProtection="1">
      <alignment horizontal="center" vertical="center"/>
      <protection hidden="1"/>
    </xf>
    <xf numFmtId="179" fontId="44" fillId="2" borderId="1" xfId="0" applyNumberFormat="1" applyFont="1" applyFill="1" applyBorder="1" applyAlignment="1" applyProtection="1">
      <alignment horizontal="center" vertical="center"/>
      <protection hidden="1"/>
    </xf>
    <xf numFmtId="0" fontId="101" fillId="2" borderId="7" xfId="0" applyFont="1" applyFill="1" applyBorder="1" applyAlignment="1" applyProtection="1">
      <alignment horizontal="center" vertical="center"/>
      <protection hidden="1"/>
    </xf>
    <xf numFmtId="0" fontId="101" fillId="2" borderId="3" xfId="0" applyFont="1" applyFill="1" applyBorder="1" applyAlignment="1" applyProtection="1">
      <alignment horizontal="center" vertical="center"/>
      <protection hidden="1"/>
    </xf>
    <xf numFmtId="0" fontId="11" fillId="21" borderId="0" xfId="0" applyFont="1" applyFill="1" applyBorder="1" applyAlignment="1" applyProtection="1">
      <alignment horizontal="left" vertical="center" wrapText="1"/>
      <protection hidden="1"/>
    </xf>
    <xf numFmtId="176" fontId="29" fillId="2" borderId="1" xfId="0" applyNumberFormat="1" applyFont="1" applyFill="1" applyBorder="1" applyAlignment="1" applyProtection="1">
      <alignment horizontal="center" vertical="center"/>
      <protection hidden="1"/>
    </xf>
    <xf numFmtId="0" fontId="118" fillId="5" borderId="1" xfId="0" applyFont="1" applyFill="1" applyBorder="1" applyAlignment="1" applyProtection="1">
      <alignment horizontal="center" vertical="center" wrapText="1"/>
      <protection locked="0"/>
    </xf>
    <xf numFmtId="0" fontId="118" fillId="5" borderId="1" xfId="0" applyFont="1" applyFill="1" applyBorder="1" applyAlignment="1" applyProtection="1">
      <alignment horizontal="center" vertical="center"/>
      <protection locked="0"/>
    </xf>
    <xf numFmtId="0" fontId="13" fillId="2" borderId="5" xfId="0" applyFont="1" applyFill="1" applyBorder="1" applyAlignment="1" applyProtection="1">
      <alignment horizontal="center" vertical="center" wrapText="1"/>
      <protection hidden="1"/>
    </xf>
    <xf numFmtId="0" fontId="13" fillId="2" borderId="4" xfId="0" applyFont="1" applyFill="1" applyBorder="1" applyAlignment="1" applyProtection="1">
      <alignment horizontal="center" vertical="center" wrapText="1"/>
      <protection hidden="1"/>
    </xf>
    <xf numFmtId="179" fontId="117" fillId="5" borderId="1" xfId="2" applyNumberFormat="1" applyFont="1" applyFill="1" applyBorder="1" applyAlignment="1" applyProtection="1">
      <alignment horizontal="center" vertical="center"/>
      <protection locked="0"/>
    </xf>
    <xf numFmtId="179" fontId="26" fillId="5" borderId="1" xfId="2" applyNumberFormat="1" applyFont="1" applyFill="1" applyBorder="1" applyAlignment="1" applyProtection="1">
      <alignment horizontal="center" vertical="center"/>
      <protection locked="0"/>
    </xf>
    <xf numFmtId="0" fontId="13" fillId="12" borderId="1" xfId="0" applyFont="1" applyFill="1" applyBorder="1" applyAlignment="1" applyProtection="1">
      <alignment horizontal="center" vertical="center" wrapText="1"/>
      <protection hidden="1"/>
    </xf>
    <xf numFmtId="0" fontId="13" fillId="2" borderId="85" xfId="0" applyFont="1" applyFill="1" applyBorder="1" applyAlignment="1" applyProtection="1">
      <alignment horizontal="left" vertical="center" wrapText="1"/>
      <protection hidden="1"/>
    </xf>
    <xf numFmtId="0" fontId="13" fillId="2" borderId="0" xfId="0" applyFont="1" applyFill="1" applyAlignment="1" applyProtection="1">
      <alignment horizontal="left" vertical="center" wrapText="1"/>
      <protection hidden="1"/>
    </xf>
    <xf numFmtId="0" fontId="31" fillId="2" borderId="85" xfId="0" applyFont="1" applyFill="1" applyBorder="1" applyAlignment="1" applyProtection="1">
      <alignment horizontal="left" vertical="center" wrapText="1"/>
      <protection hidden="1"/>
    </xf>
    <xf numFmtId="0" fontId="31" fillId="2" borderId="0" xfId="0" applyFont="1" applyFill="1" applyAlignment="1" applyProtection="1">
      <alignment horizontal="left" vertical="center" wrapText="1"/>
      <protection hidden="1"/>
    </xf>
    <xf numFmtId="0" fontId="13" fillId="12" borderId="1" xfId="0" applyFont="1" applyFill="1" applyBorder="1" applyAlignment="1" applyProtection="1">
      <alignment horizontal="center" vertical="center"/>
      <protection hidden="1"/>
    </xf>
    <xf numFmtId="0" fontId="101" fillId="2" borderId="86" xfId="0" applyFont="1" applyFill="1" applyBorder="1" applyAlignment="1" applyProtection="1">
      <alignment horizontal="center" vertical="center"/>
      <protection hidden="1"/>
    </xf>
    <xf numFmtId="0" fontId="101" fillId="2" borderId="10" xfId="0" applyFont="1" applyFill="1" applyBorder="1" applyAlignment="1" applyProtection="1">
      <alignment horizontal="center" vertical="center"/>
      <protection hidden="1"/>
    </xf>
    <xf numFmtId="0" fontId="101" fillId="2" borderId="87" xfId="0" applyFont="1" applyFill="1" applyBorder="1" applyAlignment="1" applyProtection="1">
      <alignment horizontal="center" vertical="center"/>
      <protection hidden="1"/>
    </xf>
    <xf numFmtId="0" fontId="101" fillId="2" borderId="11" xfId="0" applyFont="1" applyFill="1" applyBorder="1" applyAlignment="1" applyProtection="1">
      <alignment horizontal="center" vertical="center"/>
      <protection hidden="1"/>
    </xf>
    <xf numFmtId="0" fontId="13" fillId="2" borderId="1" xfId="0" applyFont="1" applyFill="1" applyBorder="1" applyAlignment="1" applyProtection="1">
      <alignment horizontal="center" vertical="center"/>
      <protection hidden="1"/>
    </xf>
    <xf numFmtId="180" fontId="13" fillId="2" borderId="1" xfId="1" applyNumberFormat="1" applyFont="1" applyFill="1" applyBorder="1" applyAlignment="1" applyProtection="1">
      <alignment horizontal="center" vertical="center"/>
      <protection hidden="1"/>
    </xf>
    <xf numFmtId="10" fontId="13" fillId="2" borderId="1" xfId="1" applyNumberFormat="1" applyFont="1" applyFill="1" applyBorder="1" applyAlignment="1" applyProtection="1">
      <alignment horizontal="center" vertical="center"/>
      <protection hidden="1"/>
    </xf>
    <xf numFmtId="1" fontId="13" fillId="2" borderId="1" xfId="0" applyNumberFormat="1" applyFont="1" applyFill="1" applyBorder="1" applyAlignment="1" applyProtection="1">
      <alignment horizontal="center" vertical="center"/>
      <protection hidden="1"/>
    </xf>
    <xf numFmtId="0" fontId="101" fillId="2" borderId="1" xfId="0" applyFont="1" applyFill="1" applyBorder="1" applyAlignment="1" applyProtection="1">
      <alignment horizontal="center" vertical="center"/>
      <protection hidden="1"/>
    </xf>
    <xf numFmtId="0" fontId="11" fillId="2" borderId="5" xfId="0" applyFont="1" applyFill="1" applyBorder="1" applyAlignment="1" applyProtection="1">
      <alignment horizontal="center" vertical="center"/>
      <protection hidden="1"/>
    </xf>
    <xf numFmtId="0" fontId="11" fillId="2" borderId="4" xfId="0" applyFont="1" applyFill="1" applyBorder="1" applyAlignment="1" applyProtection="1">
      <alignment horizontal="center" vertical="center"/>
      <protection hidden="1"/>
    </xf>
    <xf numFmtId="0" fontId="101" fillId="2" borderId="5" xfId="0" applyFont="1" applyFill="1" applyBorder="1" applyAlignment="1" applyProtection="1">
      <alignment horizontal="center" vertical="center" wrapText="1"/>
      <protection hidden="1"/>
    </xf>
    <xf numFmtId="0" fontId="101" fillId="2" borderId="4" xfId="0" applyFont="1" applyFill="1" applyBorder="1" applyAlignment="1" applyProtection="1">
      <alignment horizontal="center" vertical="center"/>
      <protection hidden="1"/>
    </xf>
    <xf numFmtId="0" fontId="101" fillId="2" borderId="1" xfId="0" applyFont="1" applyFill="1" applyBorder="1" applyAlignment="1" applyProtection="1">
      <alignment horizontal="center" vertical="center" wrapText="1"/>
      <protection hidden="1"/>
    </xf>
    <xf numFmtId="0" fontId="4" fillId="2" borderId="5" xfId="0" applyFont="1" applyFill="1" applyBorder="1" applyAlignment="1" applyProtection="1">
      <alignment horizontal="center" vertical="center"/>
      <protection hidden="1"/>
    </xf>
    <xf numFmtId="0" fontId="4" fillId="2" borderId="4" xfId="0" applyFont="1" applyFill="1" applyBorder="1" applyAlignment="1" applyProtection="1">
      <alignment horizontal="center" vertical="center"/>
      <protection hidden="1"/>
    </xf>
    <xf numFmtId="0" fontId="13" fillId="12" borderId="12" xfId="0" applyFont="1" applyFill="1" applyBorder="1" applyAlignment="1" applyProtection="1">
      <alignment horizontal="center" vertical="center" wrapText="1"/>
      <protection hidden="1"/>
    </xf>
    <xf numFmtId="0" fontId="13" fillId="12" borderId="95" xfId="0" applyFont="1" applyFill="1" applyBorder="1" applyAlignment="1" applyProtection="1">
      <alignment horizontal="center" vertical="center" wrapText="1"/>
      <protection hidden="1"/>
    </xf>
    <xf numFmtId="0" fontId="13" fillId="12" borderId="97" xfId="0" applyFont="1" applyFill="1" applyBorder="1" applyAlignment="1" applyProtection="1">
      <alignment horizontal="center" vertical="center" wrapText="1"/>
      <protection hidden="1"/>
    </xf>
    <xf numFmtId="0" fontId="101" fillId="2" borderId="12" xfId="0" applyFont="1" applyFill="1" applyBorder="1" applyAlignment="1" applyProtection="1">
      <alignment horizontal="center" vertical="center" wrapText="1"/>
      <protection hidden="1"/>
    </xf>
    <xf numFmtId="0" fontId="101" fillId="2" borderId="95" xfId="0" applyFont="1" applyFill="1" applyBorder="1" applyAlignment="1" applyProtection="1">
      <alignment horizontal="center" vertical="center" wrapText="1"/>
      <protection hidden="1"/>
    </xf>
    <xf numFmtId="0" fontId="101" fillId="2" borderId="97" xfId="0" applyFont="1" applyFill="1" applyBorder="1" applyAlignment="1" applyProtection="1">
      <alignment horizontal="center" vertical="center" wrapText="1"/>
      <protection hidden="1"/>
    </xf>
    <xf numFmtId="0" fontId="13" fillId="2" borderId="0" xfId="2" applyFont="1" applyFill="1" applyAlignment="1" applyProtection="1">
      <alignment horizontal="right"/>
      <protection hidden="1"/>
    </xf>
    <xf numFmtId="176" fontId="49" fillId="2" borderId="5" xfId="2" applyNumberFormat="1" applyFont="1" applyFill="1" applyBorder="1" applyAlignment="1" applyProtection="1">
      <alignment horizontal="center" vertical="center"/>
      <protection hidden="1"/>
    </xf>
    <xf numFmtId="176" fontId="49" fillId="2" borderId="4" xfId="2" applyNumberFormat="1" applyFont="1" applyFill="1" applyBorder="1" applyAlignment="1" applyProtection="1">
      <alignment horizontal="center" vertical="center"/>
      <protection hidden="1"/>
    </xf>
    <xf numFmtId="0" fontId="113" fillId="2" borderId="0" xfId="2" applyFont="1" applyFill="1" applyBorder="1" applyAlignment="1" applyProtection="1">
      <alignment horizontal="left" vertical="center" wrapText="1"/>
      <protection hidden="1"/>
    </xf>
    <xf numFmtId="0" fontId="39" fillId="2" borderId="0" xfId="5" applyFont="1" applyFill="1" applyAlignment="1" applyProtection="1">
      <alignment horizontal="center" vertical="center"/>
      <protection hidden="1"/>
    </xf>
    <xf numFmtId="0" fontId="102" fillId="2" borderId="85" xfId="2" applyFont="1" applyFill="1" applyBorder="1" applyAlignment="1" applyProtection="1">
      <alignment horizontal="left" vertical="center"/>
      <protection hidden="1"/>
    </xf>
    <xf numFmtId="0" fontId="102" fillId="2" borderId="0" xfId="2" applyFont="1" applyFill="1" applyBorder="1" applyAlignment="1" applyProtection="1">
      <alignment horizontal="left" vertical="center"/>
      <protection hidden="1"/>
    </xf>
    <xf numFmtId="179" fontId="21" fillId="2" borderId="85" xfId="2" applyNumberFormat="1" applyFont="1" applyFill="1" applyBorder="1" applyAlignment="1" applyProtection="1">
      <alignment vertical="center" wrapText="1"/>
      <protection hidden="1"/>
    </xf>
    <xf numFmtId="179" fontId="21" fillId="2" borderId="0" xfId="2" applyNumberFormat="1" applyFont="1" applyFill="1" applyBorder="1" applyAlignment="1" applyProtection="1">
      <alignment vertical="center" wrapText="1"/>
      <protection hidden="1"/>
    </xf>
    <xf numFmtId="0" fontId="17" fillId="5" borderId="5" xfId="2" applyFont="1" applyFill="1" applyBorder="1" applyAlignment="1" applyProtection="1">
      <alignment horizontal="center" vertical="center"/>
      <protection locked="0"/>
    </xf>
    <xf numFmtId="0" fontId="17" fillId="5" borderId="4" xfId="2" applyFont="1" applyFill="1" applyBorder="1" applyAlignment="1" applyProtection="1">
      <alignment horizontal="center" vertical="center"/>
      <protection locked="0"/>
    </xf>
    <xf numFmtId="180" fontId="19" fillId="3" borderId="5" xfId="2" applyNumberFormat="1" applyFont="1" applyFill="1" applyBorder="1" applyAlignment="1" applyProtection="1">
      <alignment horizontal="center" vertical="center"/>
      <protection hidden="1"/>
    </xf>
    <xf numFmtId="180" fontId="19" fillId="3" borderId="4" xfId="2" applyNumberFormat="1" applyFont="1" applyFill="1" applyBorder="1" applyAlignment="1" applyProtection="1">
      <alignment horizontal="center" vertical="center"/>
      <protection hidden="1"/>
    </xf>
    <xf numFmtId="180" fontId="51" fillId="2" borderId="9" xfId="2" applyNumberFormat="1" applyFont="1" applyFill="1" applyBorder="1" applyAlignment="1" applyProtection="1">
      <alignment horizontal="center" vertical="center"/>
      <protection hidden="1"/>
    </xf>
    <xf numFmtId="181" fontId="36" fillId="2" borderId="86" xfId="2" applyNumberFormat="1" applyFont="1" applyFill="1" applyBorder="1" applyAlignment="1" applyProtection="1">
      <alignment horizontal="left" vertical="center"/>
      <protection hidden="1"/>
    </xf>
    <xf numFmtId="181" fontId="36" fillId="2" borderId="9" xfId="2" applyNumberFormat="1" applyFont="1" applyFill="1" applyBorder="1" applyAlignment="1" applyProtection="1">
      <alignment horizontal="left" vertical="center"/>
      <protection hidden="1"/>
    </xf>
    <xf numFmtId="180" fontId="42" fillId="5" borderId="1" xfId="2" applyNumberFormat="1" applyFont="1" applyFill="1" applyBorder="1" applyAlignment="1" applyProtection="1">
      <alignment horizontal="center" vertical="center"/>
      <protection locked="0"/>
    </xf>
    <xf numFmtId="180" fontId="42" fillId="5" borderId="7" xfId="2" applyNumberFormat="1" applyFont="1" applyFill="1" applyBorder="1" applyAlignment="1" applyProtection="1">
      <alignment horizontal="center" vertical="center"/>
      <protection locked="0"/>
    </xf>
    <xf numFmtId="180" fontId="42" fillId="5" borderId="25" xfId="2" applyNumberFormat="1" applyFont="1" applyFill="1" applyBorder="1" applyAlignment="1" applyProtection="1">
      <alignment horizontal="center" vertical="center"/>
      <protection locked="0"/>
    </xf>
    <xf numFmtId="0" fontId="10" fillId="2" borderId="17" xfId="2" applyFont="1" applyFill="1" applyBorder="1" applyAlignment="1" applyProtection="1">
      <alignment horizontal="center" vertical="center" wrapText="1"/>
      <protection hidden="1"/>
    </xf>
    <xf numFmtId="0" fontId="10" fillId="2" borderId="15" xfId="2" applyFont="1" applyFill="1" applyBorder="1" applyAlignment="1" applyProtection="1">
      <alignment horizontal="center" vertical="center" wrapText="1"/>
      <protection hidden="1"/>
    </xf>
    <xf numFmtId="0" fontId="44" fillId="12" borderId="27" xfId="2" applyFont="1" applyFill="1" applyBorder="1" applyAlignment="1" applyProtection="1">
      <alignment horizontal="center" vertical="center" wrapText="1"/>
      <protection hidden="1"/>
    </xf>
    <xf numFmtId="0" fontId="44" fillId="12" borderId="22" xfId="2" applyFont="1" applyFill="1" applyBorder="1" applyAlignment="1" applyProtection="1">
      <alignment horizontal="center" vertical="center" wrapText="1"/>
      <protection hidden="1"/>
    </xf>
    <xf numFmtId="0" fontId="44" fillId="12" borderId="23" xfId="2" applyFont="1" applyFill="1" applyBorder="1" applyAlignment="1" applyProtection="1">
      <alignment horizontal="center" vertical="center" wrapText="1"/>
      <protection hidden="1"/>
    </xf>
    <xf numFmtId="10" fontId="11" fillId="2" borderId="20" xfId="2" applyNumberFormat="1" applyFont="1" applyFill="1" applyBorder="1" applyAlignment="1" applyProtection="1">
      <alignment horizontal="center" vertical="center"/>
      <protection hidden="1"/>
    </xf>
    <xf numFmtId="10" fontId="11" fillId="2" borderId="24" xfId="2" applyNumberFormat="1" applyFont="1" applyFill="1" applyBorder="1" applyAlignment="1" applyProtection="1">
      <alignment horizontal="center" vertical="center"/>
      <protection hidden="1"/>
    </xf>
    <xf numFmtId="180" fontId="10" fillId="2" borderId="1" xfId="2" applyNumberFormat="1" applyFont="1" applyFill="1" applyBorder="1" applyAlignment="1" applyProtection="1">
      <alignment horizontal="center" vertical="center"/>
      <protection hidden="1"/>
    </xf>
    <xf numFmtId="180" fontId="10" fillId="2" borderId="25" xfId="2" applyNumberFormat="1" applyFont="1" applyFill="1" applyBorder="1" applyAlignment="1" applyProtection="1">
      <alignment horizontal="center" vertical="center"/>
      <protection hidden="1"/>
    </xf>
    <xf numFmtId="184" fontId="11" fillId="2" borderId="1" xfId="2" applyNumberFormat="1" applyFont="1" applyFill="1" applyBorder="1" applyAlignment="1" applyProtection="1">
      <alignment horizontal="center" vertical="center"/>
      <protection hidden="1"/>
    </xf>
    <xf numFmtId="184" fontId="11" fillId="2" borderId="25" xfId="2" applyNumberFormat="1" applyFont="1" applyFill="1" applyBorder="1" applyAlignment="1" applyProtection="1">
      <alignment horizontal="center" vertical="center"/>
      <protection hidden="1"/>
    </xf>
    <xf numFmtId="10" fontId="13" fillId="2" borderId="1" xfId="2" applyNumberFormat="1" applyFont="1" applyFill="1" applyBorder="1" applyAlignment="1" applyProtection="1">
      <alignment horizontal="center" vertical="center"/>
      <protection hidden="1"/>
    </xf>
    <xf numFmtId="10" fontId="13" fillId="2" borderId="25" xfId="2" applyNumberFormat="1" applyFont="1" applyFill="1" applyBorder="1" applyAlignment="1" applyProtection="1">
      <alignment horizontal="center" vertical="center"/>
      <protection hidden="1"/>
    </xf>
    <xf numFmtId="0" fontId="61" fillId="2" borderId="1" xfId="2" applyFont="1" applyFill="1" applyBorder="1" applyAlignment="1" applyProtection="1">
      <alignment horizontal="center" vertical="center" wrapText="1"/>
      <protection hidden="1"/>
    </xf>
    <xf numFmtId="0" fontId="61" fillId="2" borderId="21" xfId="2" applyFont="1" applyFill="1" applyBorder="1" applyAlignment="1" applyProtection="1">
      <alignment horizontal="center" vertical="center" wrapText="1"/>
      <protection hidden="1"/>
    </xf>
    <xf numFmtId="0" fontId="61" fillId="2" borderId="25" xfId="2" applyFont="1" applyFill="1" applyBorder="1" applyAlignment="1" applyProtection="1">
      <alignment horizontal="center" vertical="center" wrapText="1"/>
      <protection hidden="1"/>
    </xf>
    <xf numFmtId="0" fontId="61" fillId="2" borderId="26" xfId="2" applyFont="1" applyFill="1" applyBorder="1" applyAlignment="1" applyProtection="1">
      <alignment horizontal="center" vertical="center" wrapText="1"/>
      <protection hidden="1"/>
    </xf>
    <xf numFmtId="0" fontId="4" fillId="2" borderId="20" xfId="2" applyFont="1" applyFill="1" applyBorder="1" applyAlignment="1" applyProtection="1">
      <alignment horizontal="center" vertical="center" wrapText="1"/>
      <protection hidden="1"/>
    </xf>
    <xf numFmtId="0" fontId="4" fillId="2" borderId="20" xfId="2" applyFont="1" applyFill="1" applyBorder="1" applyAlignment="1" applyProtection="1">
      <alignment horizontal="center" vertical="center"/>
      <protection hidden="1"/>
    </xf>
    <xf numFmtId="10" fontId="44" fillId="2" borderId="36" xfId="2" applyNumberFormat="1" applyFont="1" applyFill="1" applyBorder="1" applyAlignment="1" applyProtection="1">
      <alignment horizontal="center" vertical="center"/>
      <protection locked="0"/>
    </xf>
    <xf numFmtId="180" fontId="10" fillId="2" borderId="1" xfId="2" applyNumberFormat="1" applyFont="1" applyFill="1" applyBorder="1" applyAlignment="1" applyProtection="1">
      <alignment horizontal="center" vertical="center" wrapText="1"/>
      <protection hidden="1"/>
    </xf>
    <xf numFmtId="180" fontId="10" fillId="2" borderId="25" xfId="2" applyNumberFormat="1" applyFont="1" applyFill="1" applyBorder="1" applyAlignment="1" applyProtection="1">
      <alignment horizontal="center" vertical="center" wrapText="1"/>
      <protection hidden="1"/>
    </xf>
    <xf numFmtId="180" fontId="37" fillId="2" borderId="1" xfId="2" applyNumberFormat="1" applyFont="1" applyFill="1" applyBorder="1" applyAlignment="1" applyProtection="1">
      <alignment horizontal="center" vertical="center"/>
      <protection hidden="1"/>
    </xf>
    <xf numFmtId="180" fontId="37" fillId="2" borderId="25" xfId="2" applyNumberFormat="1" applyFont="1" applyFill="1" applyBorder="1" applyAlignment="1" applyProtection="1">
      <alignment horizontal="center" vertical="center"/>
      <protection hidden="1"/>
    </xf>
    <xf numFmtId="184" fontId="15" fillId="14" borderId="1" xfId="6" applyNumberFormat="1" applyFont="1" applyFill="1" applyBorder="1" applyAlignment="1" applyProtection="1">
      <alignment horizontal="center" vertical="center"/>
      <protection hidden="1"/>
    </xf>
    <xf numFmtId="184" fontId="15" fillId="14" borderId="25" xfId="6" applyNumberFormat="1" applyFont="1" applyFill="1" applyBorder="1" applyAlignment="1" applyProtection="1">
      <alignment horizontal="center" vertical="center"/>
      <protection hidden="1"/>
    </xf>
    <xf numFmtId="0" fontId="60" fillId="2" borderId="1" xfId="2" applyFont="1" applyFill="1" applyBorder="1" applyAlignment="1" applyProtection="1">
      <alignment horizontal="center" vertical="center" wrapText="1"/>
      <protection hidden="1"/>
    </xf>
    <xf numFmtId="0" fontId="60" fillId="2" borderId="21" xfId="2" applyFont="1" applyFill="1" applyBorder="1" applyAlignment="1" applyProtection="1">
      <alignment horizontal="center" vertical="center" wrapText="1"/>
      <protection hidden="1"/>
    </xf>
    <xf numFmtId="0" fontId="60" fillId="2" borderId="25" xfId="2" applyFont="1" applyFill="1" applyBorder="1" applyAlignment="1" applyProtection="1">
      <alignment horizontal="center" vertical="center" wrapText="1"/>
      <protection hidden="1"/>
    </xf>
    <xf numFmtId="0" fontId="60" fillId="2" borderId="26" xfId="2" applyFont="1" applyFill="1" applyBorder="1" applyAlignment="1" applyProtection="1">
      <alignment horizontal="center" vertical="center" wrapText="1"/>
      <protection hidden="1"/>
    </xf>
    <xf numFmtId="0" fontId="60" fillId="2" borderId="32" xfId="2" applyFont="1" applyFill="1" applyBorder="1" applyAlignment="1" applyProtection="1">
      <alignment horizontal="center" vertical="center" wrapText="1"/>
      <protection hidden="1"/>
    </xf>
    <xf numFmtId="0" fontId="55" fillId="2" borderId="0" xfId="2" applyFont="1" applyFill="1" applyBorder="1" applyAlignment="1" applyProtection="1">
      <alignment horizontal="left" vertical="center" wrapText="1"/>
      <protection hidden="1"/>
    </xf>
    <xf numFmtId="10" fontId="11" fillId="2" borderId="31" xfId="2" applyNumberFormat="1" applyFont="1" applyFill="1" applyBorder="1" applyAlignment="1" applyProtection="1">
      <alignment horizontal="center" vertical="center"/>
      <protection hidden="1"/>
    </xf>
    <xf numFmtId="180" fontId="10" fillId="2" borderId="7" xfId="2" applyNumberFormat="1" applyFont="1" applyFill="1" applyBorder="1" applyAlignment="1" applyProtection="1">
      <alignment horizontal="center" vertical="center"/>
      <protection hidden="1"/>
    </xf>
    <xf numFmtId="179" fontId="59" fillId="3" borderId="1" xfId="2" applyNumberFormat="1" applyFont="1" applyFill="1" applyBorder="1" applyAlignment="1" applyProtection="1">
      <alignment horizontal="center" vertical="center"/>
      <protection hidden="1"/>
    </xf>
    <xf numFmtId="179" fontId="59" fillId="3" borderId="7" xfId="2" applyNumberFormat="1" applyFont="1" applyFill="1" applyBorder="1" applyAlignment="1" applyProtection="1">
      <alignment horizontal="center" vertical="center"/>
      <protection hidden="1"/>
    </xf>
    <xf numFmtId="179" fontId="59" fillId="3" borderId="25" xfId="2" applyNumberFormat="1" applyFont="1" applyFill="1" applyBorder="1" applyAlignment="1" applyProtection="1">
      <alignment horizontal="center" vertical="center"/>
      <protection hidden="1"/>
    </xf>
    <xf numFmtId="0" fontId="4" fillId="2" borderId="14" xfId="2" applyFont="1" applyFill="1" applyBorder="1" applyAlignment="1" applyProtection="1">
      <alignment horizontal="center" vertical="center"/>
      <protection hidden="1"/>
    </xf>
    <xf numFmtId="179" fontId="42" fillId="5" borderId="15" xfId="2" applyNumberFormat="1" applyFont="1" applyFill="1" applyBorder="1" applyAlignment="1" applyProtection="1">
      <alignment horizontal="center" vertical="center"/>
      <protection locked="0"/>
    </xf>
    <xf numFmtId="179" fontId="42" fillId="5" borderId="21" xfId="2" applyNumberFormat="1" applyFont="1" applyFill="1" applyBorder="1" applyAlignment="1" applyProtection="1">
      <alignment horizontal="center" vertical="center"/>
      <protection locked="0"/>
    </xf>
    <xf numFmtId="0" fontId="45" fillId="2" borderId="1" xfId="2" applyFont="1" applyFill="1" applyBorder="1" applyAlignment="1" applyProtection="1">
      <alignment horizontal="center" vertical="center" wrapText="1"/>
      <protection hidden="1"/>
    </xf>
    <xf numFmtId="0" fontId="45" fillId="2" borderId="21" xfId="2" applyFont="1" applyFill="1" applyBorder="1" applyAlignment="1" applyProtection="1">
      <alignment horizontal="center" vertical="center" wrapText="1"/>
      <protection hidden="1"/>
    </xf>
    <xf numFmtId="0" fontId="45" fillId="2" borderId="25" xfId="2" applyFont="1" applyFill="1" applyBorder="1" applyAlignment="1" applyProtection="1">
      <alignment horizontal="center" vertical="center" wrapText="1"/>
      <protection hidden="1"/>
    </xf>
    <xf numFmtId="0" fontId="45" fillId="2" borderId="26" xfId="2" applyFont="1" applyFill="1" applyBorder="1" applyAlignment="1" applyProtection="1">
      <alignment horizontal="center" vertical="center" wrapText="1"/>
      <protection hidden="1"/>
    </xf>
    <xf numFmtId="0" fontId="53" fillId="2" borderId="20" xfId="3" applyFont="1" applyFill="1" applyBorder="1" applyAlignment="1" applyProtection="1">
      <alignment horizontal="center" vertical="center" wrapText="1"/>
      <protection hidden="1"/>
    </xf>
    <xf numFmtId="0" fontId="53" fillId="2" borderId="24" xfId="3" applyFont="1" applyFill="1" applyBorder="1" applyAlignment="1" applyProtection="1">
      <alignment horizontal="center" vertical="center" wrapText="1"/>
      <protection hidden="1"/>
    </xf>
    <xf numFmtId="179" fontId="37" fillId="2" borderId="21" xfId="4" applyNumberFormat="1" applyFont="1" applyFill="1" applyBorder="1" applyAlignment="1" applyProtection="1">
      <alignment horizontal="center" vertical="center"/>
      <protection hidden="1"/>
    </xf>
    <xf numFmtId="179" fontId="37" fillId="2" borderId="26" xfId="4" applyNumberFormat="1" applyFont="1" applyFill="1" applyBorder="1" applyAlignment="1" applyProtection="1">
      <alignment horizontal="center" vertical="center"/>
      <protection hidden="1"/>
    </xf>
    <xf numFmtId="0" fontId="56" fillId="4" borderId="39" xfId="2" applyFont="1" applyFill="1" applyBorder="1" applyAlignment="1" applyProtection="1">
      <alignment horizontal="center" vertical="center" wrapText="1"/>
      <protection hidden="1"/>
    </xf>
    <xf numFmtId="0" fontId="56" fillId="4" borderId="40" xfId="2" applyFont="1" applyFill="1" applyBorder="1" applyAlignment="1" applyProtection="1">
      <alignment horizontal="center" vertical="center" wrapText="1"/>
      <protection hidden="1"/>
    </xf>
    <xf numFmtId="180" fontId="63" fillId="5" borderId="36" xfId="2" applyNumberFormat="1" applyFont="1" applyFill="1" applyBorder="1" applyAlignment="1" applyProtection="1">
      <alignment horizontal="center" vertical="center"/>
      <protection locked="0"/>
    </xf>
    <xf numFmtId="180" fontId="63" fillId="5" borderId="41" xfId="2" applyNumberFormat="1" applyFont="1" applyFill="1" applyBorder="1" applyAlignment="1" applyProtection="1">
      <alignment horizontal="center" vertical="center"/>
      <protection locked="0"/>
    </xf>
    <xf numFmtId="0" fontId="8" fillId="2" borderId="37" xfId="3" applyFont="1" applyFill="1" applyBorder="1" applyAlignment="1" applyProtection="1">
      <alignment horizontal="center" vertical="center" wrapText="1"/>
      <protection hidden="1"/>
    </xf>
    <xf numFmtId="0" fontId="8" fillId="2" borderId="38" xfId="3" applyFont="1" applyFill="1" applyBorder="1" applyAlignment="1" applyProtection="1">
      <alignment horizontal="center" vertical="center" wrapText="1"/>
      <protection hidden="1"/>
    </xf>
    <xf numFmtId="179" fontId="37" fillId="2" borderId="36" xfId="4" applyNumberFormat="1" applyFont="1" applyFill="1" applyBorder="1" applyAlignment="1" applyProtection="1">
      <alignment horizontal="center" vertical="center"/>
      <protection hidden="1"/>
    </xf>
    <xf numFmtId="179" fontId="42" fillId="5" borderId="36" xfId="2" applyNumberFormat="1" applyFont="1" applyFill="1" applyBorder="1" applyAlignment="1" applyProtection="1">
      <alignment horizontal="center" vertical="center"/>
      <protection locked="0"/>
    </xf>
    <xf numFmtId="179" fontId="42" fillId="5" borderId="35" xfId="2" applyNumberFormat="1" applyFont="1" applyFill="1" applyBorder="1" applyAlignment="1" applyProtection="1">
      <alignment horizontal="center" vertical="center"/>
      <protection locked="0"/>
    </xf>
    <xf numFmtId="0" fontId="64" fillId="15" borderId="0" xfId="2" applyFont="1" applyFill="1" applyAlignment="1" applyProtection="1">
      <alignment horizontal="center" vertical="center" wrapText="1"/>
      <protection hidden="1"/>
    </xf>
    <xf numFmtId="181" fontId="2" fillId="10" borderId="37" xfId="2" applyNumberFormat="1" applyFont="1" applyFill="1" applyBorder="1" applyAlignment="1" applyProtection="1">
      <alignment horizontal="center" vertical="center" wrapText="1"/>
      <protection hidden="1"/>
    </xf>
    <xf numFmtId="181" fontId="2" fillId="10" borderId="38" xfId="2" applyNumberFormat="1" applyFont="1" applyFill="1" applyBorder="1" applyAlignment="1" applyProtection="1">
      <alignment horizontal="center" vertical="center" wrapText="1"/>
      <protection hidden="1"/>
    </xf>
    <xf numFmtId="179" fontId="43" fillId="5" borderId="43" xfId="2" applyNumberFormat="1" applyFont="1" applyFill="1" applyBorder="1" applyAlignment="1" applyProtection="1">
      <alignment horizontal="center" vertical="center"/>
      <protection locked="0"/>
    </xf>
    <xf numFmtId="179" fontId="43" fillId="5" borderId="44" xfId="2" applyNumberFormat="1" applyFont="1" applyFill="1" applyBorder="1" applyAlignment="1" applyProtection="1">
      <alignment horizontal="center" vertical="center"/>
      <protection locked="0"/>
    </xf>
    <xf numFmtId="181" fontId="67" fillId="10" borderId="47" xfId="2" applyNumberFormat="1" applyFont="1" applyFill="1" applyBorder="1" applyAlignment="1" applyProtection="1">
      <alignment horizontal="center" vertical="center"/>
      <protection hidden="1"/>
    </xf>
    <xf numFmtId="181" fontId="67" fillId="10" borderId="48" xfId="2" applyNumberFormat="1" applyFont="1" applyFill="1" applyBorder="1" applyAlignment="1" applyProtection="1">
      <alignment horizontal="center" vertical="center"/>
      <protection hidden="1"/>
    </xf>
    <xf numFmtId="0" fontId="6" fillId="0" borderId="104" xfId="2" applyBorder="1" applyAlignment="1">
      <alignment horizontal="center" vertical="center"/>
    </xf>
    <xf numFmtId="0" fontId="6" fillId="0" borderId="105" xfId="2" applyBorder="1" applyAlignment="1">
      <alignment horizontal="center" vertical="center"/>
    </xf>
    <xf numFmtId="0" fontId="6" fillId="0" borderId="106" xfId="2" applyBorder="1" applyAlignment="1">
      <alignment horizontal="center" vertical="center"/>
    </xf>
    <xf numFmtId="0" fontId="85" fillId="15" borderId="38" xfId="0" applyFont="1" applyFill="1" applyBorder="1" applyAlignment="1" applyProtection="1">
      <alignment horizontal="center" vertical="center" wrapText="1"/>
      <protection hidden="1"/>
    </xf>
    <xf numFmtId="0" fontId="85" fillId="15" borderId="40" xfId="0" applyFont="1" applyFill="1" applyBorder="1" applyAlignment="1" applyProtection="1">
      <alignment horizontal="center" vertical="center" wrapText="1"/>
      <protection hidden="1"/>
    </xf>
    <xf numFmtId="9" fontId="2" fillId="15" borderId="3" xfId="0" applyNumberFormat="1" applyFont="1" applyFill="1" applyBorder="1" applyAlignment="1" applyProtection="1">
      <alignment horizontal="center" vertical="center" wrapText="1"/>
      <protection hidden="1"/>
    </xf>
    <xf numFmtId="9" fontId="2" fillId="15" borderId="34" xfId="0" applyNumberFormat="1" applyFont="1" applyFill="1" applyBorder="1" applyAlignment="1" applyProtection="1">
      <alignment horizontal="center" vertical="center" wrapText="1"/>
      <protection hidden="1"/>
    </xf>
    <xf numFmtId="0" fontId="2" fillId="15" borderId="3" xfId="0" applyFont="1" applyFill="1" applyBorder="1" applyAlignment="1" applyProtection="1">
      <alignment horizontal="center" vertical="center"/>
      <protection hidden="1"/>
    </xf>
    <xf numFmtId="0" fontId="2" fillId="15" borderId="34" xfId="0" applyFont="1" applyFill="1" applyBorder="1" applyAlignment="1" applyProtection="1">
      <alignment horizontal="center" vertical="center"/>
      <protection hidden="1"/>
    </xf>
    <xf numFmtId="0" fontId="2" fillId="15" borderId="44" xfId="0" applyFont="1" applyFill="1" applyBorder="1" applyAlignment="1" applyProtection="1">
      <alignment horizontal="center" vertical="center"/>
      <protection hidden="1"/>
    </xf>
    <xf numFmtId="0" fontId="2" fillId="15" borderId="41" xfId="0" applyFont="1" applyFill="1" applyBorder="1" applyAlignment="1" applyProtection="1">
      <alignment horizontal="center" vertical="center"/>
      <protection hidden="1"/>
    </xf>
    <xf numFmtId="0" fontId="2" fillId="15" borderId="53" xfId="0" applyFont="1" applyFill="1" applyBorder="1" applyAlignment="1" applyProtection="1">
      <alignment horizontal="center" vertical="center" wrapText="1"/>
      <protection hidden="1"/>
    </xf>
    <xf numFmtId="0" fontId="2" fillId="15" borderId="57" xfId="0" applyFont="1" applyFill="1" applyBorder="1" applyAlignment="1" applyProtection="1">
      <alignment horizontal="center" vertical="center" wrapText="1"/>
      <protection hidden="1"/>
    </xf>
    <xf numFmtId="0" fontId="2" fillId="15" borderId="53" xfId="2" applyFont="1" applyFill="1" applyBorder="1" applyAlignment="1" applyProtection="1">
      <alignment horizontal="center" vertical="center"/>
      <protection hidden="1"/>
    </xf>
    <xf numFmtId="0" fontId="2" fillId="15" borderId="57" xfId="2" applyFont="1" applyFill="1" applyBorder="1" applyAlignment="1" applyProtection="1">
      <alignment horizontal="center" vertical="center"/>
      <protection hidden="1"/>
    </xf>
    <xf numFmtId="0" fontId="2" fillId="15" borderId="35" xfId="2" applyFont="1" applyFill="1" applyBorder="1" applyAlignment="1" applyProtection="1">
      <alignment horizontal="center" vertical="center" wrapText="1"/>
      <protection hidden="1"/>
    </xf>
    <xf numFmtId="0" fontId="2" fillId="15" borderId="41" xfId="2" applyFont="1" applyFill="1" applyBorder="1" applyAlignment="1" applyProtection="1">
      <alignment horizontal="center" vertical="center" wrapText="1"/>
      <protection hidden="1"/>
    </xf>
    <xf numFmtId="0" fontId="85" fillId="13" borderId="42" xfId="0" applyFont="1" applyFill="1" applyBorder="1" applyAlignment="1" applyProtection="1">
      <alignment horizontal="center" vertical="center" wrapText="1"/>
      <protection hidden="1"/>
    </xf>
    <xf numFmtId="0" fontId="85" fillId="13" borderId="37" xfId="0" applyFont="1" applyFill="1" applyBorder="1" applyAlignment="1" applyProtection="1">
      <alignment horizontal="center" vertical="center" wrapText="1"/>
      <protection hidden="1"/>
    </xf>
    <xf numFmtId="0" fontId="85" fillId="15" borderId="45" xfId="0" applyFont="1" applyFill="1" applyBorder="1" applyAlignment="1" applyProtection="1">
      <alignment horizontal="center" vertical="center" wrapText="1"/>
      <protection hidden="1"/>
    </xf>
    <xf numFmtId="0" fontId="85" fillId="15" borderId="56" xfId="0" applyFont="1" applyFill="1" applyBorder="1" applyAlignment="1" applyProtection="1">
      <alignment horizontal="center" vertical="center" wrapText="1"/>
      <protection hidden="1"/>
    </xf>
    <xf numFmtId="0" fontId="81" fillId="13" borderId="42" xfId="0" applyFont="1" applyFill="1" applyBorder="1" applyAlignment="1" applyProtection="1">
      <alignment horizontal="center" vertical="center" wrapText="1"/>
      <protection hidden="1"/>
    </xf>
    <xf numFmtId="0" fontId="81" fillId="13" borderId="39" xfId="0" applyFont="1" applyFill="1" applyBorder="1" applyAlignment="1" applyProtection="1">
      <alignment horizontal="center" vertical="center" wrapText="1"/>
      <protection hidden="1"/>
    </xf>
    <xf numFmtId="0" fontId="81" fillId="13" borderId="40" xfId="0" applyFont="1" applyFill="1" applyBorder="1" applyAlignment="1" applyProtection="1">
      <alignment horizontal="center" vertical="center" wrapText="1"/>
      <protection hidden="1"/>
    </xf>
    <xf numFmtId="0" fontId="2" fillId="13" borderId="33" xfId="0" applyFont="1" applyFill="1" applyBorder="1" applyAlignment="1" applyProtection="1">
      <alignment horizontal="center" vertical="center" wrapText="1"/>
      <protection hidden="1"/>
    </xf>
    <xf numFmtId="0" fontId="2" fillId="13" borderId="1" xfId="0" applyFont="1" applyFill="1" applyBorder="1" applyAlignment="1" applyProtection="1">
      <alignment horizontal="center" vertical="center" wrapText="1"/>
      <protection hidden="1"/>
    </xf>
    <xf numFmtId="0" fontId="2" fillId="13" borderId="33" xfId="0" applyFont="1" applyFill="1" applyBorder="1" applyAlignment="1" applyProtection="1">
      <alignment horizontal="center" vertical="center"/>
      <protection hidden="1"/>
    </xf>
    <xf numFmtId="0" fontId="2" fillId="13" borderId="1" xfId="0" applyFont="1" applyFill="1" applyBorder="1" applyAlignment="1" applyProtection="1">
      <alignment horizontal="center" vertical="center"/>
      <protection hidden="1"/>
    </xf>
    <xf numFmtId="0" fontId="35" fillId="13" borderId="7" xfId="2" applyFont="1" applyFill="1" applyBorder="1" applyAlignment="1" applyProtection="1">
      <alignment horizontal="center" vertical="center" wrapText="1"/>
      <protection hidden="1"/>
    </xf>
    <xf numFmtId="0" fontId="35" fillId="13" borderId="2" xfId="2" applyFont="1" applyFill="1" applyBorder="1" applyAlignment="1" applyProtection="1">
      <alignment horizontal="center" vertical="center" wrapText="1"/>
      <protection hidden="1"/>
    </xf>
    <xf numFmtId="0" fontId="2" fillId="13" borderId="7" xfId="2" applyFont="1" applyFill="1" applyBorder="1" applyAlignment="1" applyProtection="1">
      <alignment horizontal="center" vertical="center" wrapText="1"/>
      <protection hidden="1"/>
    </xf>
    <xf numFmtId="0" fontId="2" fillId="13" borderId="2" xfId="2" applyFont="1" applyFill="1" applyBorder="1" applyAlignment="1" applyProtection="1">
      <alignment horizontal="center" vertical="center" wrapText="1"/>
      <protection hidden="1"/>
    </xf>
    <xf numFmtId="0" fontId="2" fillId="13" borderId="3" xfId="2" applyFont="1" applyFill="1" applyBorder="1" applyAlignment="1" applyProtection="1">
      <alignment horizontal="center" vertical="center" wrapText="1"/>
      <protection hidden="1"/>
    </xf>
    <xf numFmtId="9" fontId="2" fillId="13" borderId="1" xfId="0" applyNumberFormat="1" applyFont="1" applyFill="1" applyBorder="1" applyAlignment="1" applyProtection="1">
      <alignment horizontal="center" vertical="center"/>
      <protection hidden="1"/>
    </xf>
    <xf numFmtId="0" fontId="7" fillId="10" borderId="0" xfId="0" applyFont="1" applyFill="1" applyBorder="1" applyAlignment="1" applyProtection="1">
      <alignment horizontal="center" vertical="center" wrapText="1"/>
      <protection hidden="1"/>
    </xf>
    <xf numFmtId="0" fontId="78" fillId="13" borderId="7" xfId="2" applyFont="1" applyFill="1" applyBorder="1" applyAlignment="1" applyProtection="1">
      <alignment horizontal="left" vertical="center" wrapText="1" readingOrder="1"/>
      <protection hidden="1"/>
    </xf>
    <xf numFmtId="0" fontId="78" fillId="13" borderId="2" xfId="2" applyFont="1" applyFill="1" applyBorder="1" applyAlignment="1" applyProtection="1">
      <alignment horizontal="left" vertical="center" wrapText="1" readingOrder="1"/>
      <protection hidden="1"/>
    </xf>
    <xf numFmtId="0" fontId="78" fillId="13" borderId="3" xfId="2" applyFont="1" applyFill="1" applyBorder="1" applyAlignment="1" applyProtection="1">
      <alignment horizontal="left" vertical="center" wrapText="1" readingOrder="1"/>
      <protection hidden="1"/>
    </xf>
    <xf numFmtId="0" fontId="2" fillId="13" borderId="36" xfId="0" applyFont="1" applyFill="1" applyBorder="1" applyAlignment="1" applyProtection="1">
      <alignment horizontal="center" vertical="center"/>
      <protection hidden="1"/>
    </xf>
    <xf numFmtId="0" fontId="2" fillId="13" borderId="41" xfId="0" applyFont="1" applyFill="1" applyBorder="1" applyAlignment="1" applyProtection="1">
      <alignment horizontal="center" vertical="center"/>
      <protection hidden="1"/>
    </xf>
    <xf numFmtId="0" fontId="83" fillId="15" borderId="1" xfId="2" applyFont="1" applyFill="1" applyBorder="1" applyAlignment="1" applyProtection="1">
      <alignment horizontal="left" vertical="center" wrapText="1" readingOrder="1"/>
      <protection hidden="1"/>
    </xf>
    <xf numFmtId="0" fontId="78" fillId="13" borderId="86" xfId="2" applyFont="1" applyFill="1" applyBorder="1" applyAlignment="1" applyProtection="1">
      <alignment horizontal="left" vertical="center" wrapText="1" readingOrder="1"/>
      <protection hidden="1"/>
    </xf>
    <xf numFmtId="0" fontId="78" fillId="13" borderId="10" xfId="2" applyFont="1" applyFill="1" applyBorder="1" applyAlignment="1" applyProtection="1">
      <alignment horizontal="left" vertical="center" wrapText="1" readingOrder="1"/>
      <protection hidden="1"/>
    </xf>
    <xf numFmtId="0" fontId="78" fillId="13" borderId="85" xfId="2" applyFont="1" applyFill="1" applyBorder="1" applyAlignment="1" applyProtection="1">
      <alignment horizontal="left" vertical="center" wrapText="1" readingOrder="1"/>
      <protection hidden="1"/>
    </xf>
    <xf numFmtId="0" fontId="78" fillId="13" borderId="88" xfId="2" applyFont="1" applyFill="1" applyBorder="1" applyAlignment="1" applyProtection="1">
      <alignment horizontal="left" vertical="center" wrapText="1" readingOrder="1"/>
      <protection hidden="1"/>
    </xf>
    <xf numFmtId="0" fontId="84" fillId="16" borderId="9" xfId="2" applyFont="1" applyFill="1" applyBorder="1" applyAlignment="1" applyProtection="1">
      <alignment horizontal="left" vertical="center" wrapText="1"/>
      <protection hidden="1"/>
    </xf>
    <xf numFmtId="0" fontId="84" fillId="16" borderId="0" xfId="2" applyFont="1" applyFill="1" applyBorder="1" applyAlignment="1" applyProtection="1">
      <alignment horizontal="left" vertical="center" wrapText="1"/>
      <protection hidden="1"/>
    </xf>
    <xf numFmtId="0" fontId="78" fillId="15" borderId="101" xfId="2" applyFont="1" applyFill="1" applyBorder="1" applyAlignment="1" applyProtection="1">
      <alignment horizontal="left" vertical="center" wrapText="1" readingOrder="1"/>
      <protection hidden="1"/>
    </xf>
    <xf numFmtId="0" fontId="78" fillId="15" borderId="102" xfId="2" applyFont="1" applyFill="1" applyBorder="1" applyAlignment="1" applyProtection="1">
      <alignment horizontal="left" vertical="center" wrapText="1" readingOrder="1"/>
      <protection hidden="1"/>
    </xf>
    <xf numFmtId="0" fontId="77" fillId="18" borderId="86" xfId="2" applyFont="1" applyFill="1" applyBorder="1" applyAlignment="1" applyProtection="1">
      <alignment horizontal="center" vertical="center" wrapText="1" readingOrder="1"/>
      <protection hidden="1"/>
    </xf>
    <xf numFmtId="0" fontId="77" fillId="18" borderId="10" xfId="2" applyFont="1" applyFill="1" applyBorder="1" applyAlignment="1" applyProtection="1">
      <alignment horizontal="center" vertical="center" wrapText="1" readingOrder="1"/>
      <protection hidden="1"/>
    </xf>
    <xf numFmtId="0" fontId="77" fillId="18" borderId="87" xfId="2" applyFont="1" applyFill="1" applyBorder="1" applyAlignment="1" applyProtection="1">
      <alignment horizontal="center" vertical="center" wrapText="1" readingOrder="1"/>
      <protection hidden="1"/>
    </xf>
    <xf numFmtId="0" fontId="77" fillId="18" borderId="11" xfId="2" applyFont="1" applyFill="1" applyBorder="1" applyAlignment="1" applyProtection="1">
      <alignment horizontal="center" vertical="center" wrapText="1" readingOrder="1"/>
      <protection hidden="1"/>
    </xf>
    <xf numFmtId="0" fontId="13" fillId="13" borderId="46" xfId="2" applyFont="1" applyFill="1" applyBorder="1" applyAlignment="1" applyProtection="1">
      <alignment horizontal="center" vertical="center" wrapText="1"/>
      <protection hidden="1"/>
    </xf>
    <xf numFmtId="0" fontId="13" fillId="13" borderId="55" xfId="2" applyFont="1" applyFill="1" applyBorder="1" applyAlignment="1" applyProtection="1">
      <alignment horizontal="center" vertical="center" wrapText="1"/>
      <protection hidden="1"/>
    </xf>
    <xf numFmtId="0" fontId="76" fillId="13" borderId="46" xfId="2" applyFont="1" applyFill="1" applyBorder="1" applyAlignment="1" applyProtection="1">
      <alignment horizontal="center" vertical="center" wrapText="1"/>
      <protection hidden="1"/>
    </xf>
    <xf numFmtId="0" fontId="76" fillId="13" borderId="55" xfId="2" applyFont="1" applyFill="1" applyBorder="1" applyAlignment="1" applyProtection="1">
      <alignment horizontal="center" vertical="center" wrapText="1"/>
      <protection hidden="1"/>
    </xf>
    <xf numFmtId="0" fontId="2" fillId="13" borderId="52" xfId="3" applyFont="1" applyFill="1" applyBorder="1" applyAlignment="1" applyProtection="1">
      <alignment horizontal="left" vertical="center" wrapText="1"/>
      <protection hidden="1"/>
    </xf>
    <xf numFmtId="0" fontId="2" fillId="13" borderId="58" xfId="3" applyFont="1" applyFill="1" applyBorder="1" applyAlignment="1" applyProtection="1">
      <alignment horizontal="left" vertical="center" wrapText="1"/>
      <protection hidden="1"/>
    </xf>
    <xf numFmtId="0" fontId="2" fillId="13" borderId="59" xfId="3" applyFont="1" applyFill="1" applyBorder="1" applyAlignment="1" applyProtection="1">
      <alignment horizontal="left" vertical="center" wrapText="1"/>
      <protection hidden="1"/>
    </xf>
    <xf numFmtId="0" fontId="2" fillId="13" borderId="60" xfId="3" applyFont="1" applyFill="1" applyBorder="1" applyAlignment="1" applyProtection="1">
      <alignment horizontal="left" vertical="center" wrapText="1"/>
      <protection hidden="1"/>
    </xf>
    <xf numFmtId="0" fontId="2" fillId="13" borderId="0" xfId="3" applyFont="1" applyFill="1" applyBorder="1" applyAlignment="1" applyProtection="1">
      <alignment horizontal="left" vertical="center" wrapText="1"/>
      <protection hidden="1"/>
    </xf>
    <xf numFmtId="0" fontId="2" fillId="13" borderId="61" xfId="3" applyFont="1" applyFill="1" applyBorder="1" applyAlignment="1" applyProtection="1">
      <alignment horizontal="left" vertical="center" wrapText="1"/>
      <protection hidden="1"/>
    </xf>
    <xf numFmtId="0" fontId="35" fillId="13" borderId="64" xfId="2" applyFont="1" applyFill="1" applyBorder="1" applyAlignment="1" applyProtection="1">
      <alignment horizontal="center" vertical="center" wrapText="1" readingOrder="1"/>
      <protection hidden="1"/>
    </xf>
    <xf numFmtId="0" fontId="35" fillId="13" borderId="65" xfId="2" applyFont="1" applyFill="1" applyBorder="1" applyAlignment="1" applyProtection="1">
      <alignment horizontal="center" vertical="center" wrapText="1" readingOrder="1"/>
      <protection hidden="1"/>
    </xf>
    <xf numFmtId="0" fontId="78" fillId="13" borderId="68" xfId="2" applyFont="1" applyFill="1" applyBorder="1" applyAlignment="1" applyProtection="1">
      <alignment horizontal="left" vertical="center" wrapText="1" readingOrder="1"/>
      <protection hidden="1"/>
    </xf>
    <xf numFmtId="0" fontId="78" fillId="13" borderId="73" xfId="2" applyFont="1" applyFill="1" applyBorder="1" applyAlignment="1" applyProtection="1">
      <alignment horizontal="left" vertical="center" wrapText="1" readingOrder="1"/>
      <protection hidden="1"/>
    </xf>
    <xf numFmtId="0" fontId="2" fillId="13" borderId="69" xfId="3" applyFont="1" applyFill="1" applyBorder="1" applyAlignment="1" applyProtection="1">
      <alignment horizontal="left" vertical="top" wrapText="1"/>
      <protection hidden="1"/>
    </xf>
    <xf numFmtId="0" fontId="2" fillId="13" borderId="58" xfId="3" applyFont="1" applyFill="1" applyBorder="1" applyAlignment="1" applyProtection="1">
      <alignment horizontal="left" vertical="top" wrapText="1"/>
      <protection hidden="1"/>
    </xf>
    <xf numFmtId="0" fontId="2" fillId="13" borderId="70" xfId="3" applyFont="1" applyFill="1" applyBorder="1" applyAlignment="1" applyProtection="1">
      <alignment horizontal="left" vertical="top" wrapText="1"/>
      <protection hidden="1"/>
    </xf>
    <xf numFmtId="0" fontId="2" fillId="13" borderId="75" xfId="3" applyFont="1" applyFill="1" applyBorder="1" applyAlignment="1" applyProtection="1">
      <alignment horizontal="left" vertical="top" wrapText="1"/>
      <protection hidden="1"/>
    </xf>
    <xf numFmtId="0" fontId="2" fillId="13" borderId="76" xfId="3" applyFont="1" applyFill="1" applyBorder="1" applyAlignment="1" applyProtection="1">
      <alignment horizontal="left" vertical="top" wrapText="1"/>
      <protection hidden="1"/>
    </xf>
    <xf numFmtId="0" fontId="2" fillId="13" borderId="77" xfId="3" applyFont="1" applyFill="1" applyBorder="1" applyAlignment="1" applyProtection="1">
      <alignment horizontal="left" vertical="top" wrapText="1"/>
      <protection hidden="1"/>
    </xf>
    <xf numFmtId="0" fontId="77" fillId="13" borderId="71" xfId="2" applyFont="1" applyFill="1" applyBorder="1" applyAlignment="1" applyProtection="1">
      <alignment horizontal="center" vertical="center" wrapText="1" readingOrder="1"/>
      <protection hidden="1"/>
    </xf>
    <xf numFmtId="0" fontId="77" fillId="13" borderId="78" xfId="2" applyFont="1" applyFill="1" applyBorder="1" applyAlignment="1" applyProtection="1">
      <alignment horizontal="center" vertical="center" wrapText="1" readingOrder="1"/>
      <protection hidden="1"/>
    </xf>
    <xf numFmtId="0" fontId="77" fillId="13" borderId="81" xfId="2" applyFont="1" applyFill="1" applyBorder="1" applyAlignment="1" applyProtection="1">
      <alignment horizontal="center" vertical="center" wrapText="1" readingOrder="1"/>
      <protection hidden="1"/>
    </xf>
    <xf numFmtId="0" fontId="76" fillId="13" borderId="53" xfId="2" applyFont="1" applyFill="1" applyBorder="1" applyAlignment="1" applyProtection="1">
      <alignment horizontal="left" vertical="center" wrapText="1"/>
      <protection hidden="1"/>
    </xf>
    <xf numFmtId="0" fontId="76" fillId="13" borderId="2" xfId="2" applyFont="1" applyFill="1" applyBorder="1" applyAlignment="1" applyProtection="1">
      <alignment horizontal="left" vertical="center" wrapText="1"/>
      <protection hidden="1"/>
    </xf>
    <xf numFmtId="0" fontId="76" fillId="13" borderId="57" xfId="2" applyFont="1" applyFill="1" applyBorder="1" applyAlignment="1" applyProtection="1">
      <alignment horizontal="left" vertical="center" wrapText="1"/>
      <protection hidden="1"/>
    </xf>
    <xf numFmtId="0" fontId="76" fillId="13" borderId="33" xfId="2" applyFont="1" applyFill="1" applyBorder="1" applyAlignment="1" applyProtection="1">
      <alignment horizontal="left" vertical="center" wrapText="1"/>
      <protection hidden="1"/>
    </xf>
    <xf numFmtId="0" fontId="76" fillId="13" borderId="1" xfId="2" applyFont="1" applyFill="1" applyBorder="1" applyAlignment="1" applyProtection="1">
      <alignment horizontal="left" vertical="center" wrapText="1"/>
      <protection hidden="1"/>
    </xf>
    <xf numFmtId="0" fontId="76" fillId="13" borderId="34" xfId="2" applyFont="1" applyFill="1" applyBorder="1" applyAlignment="1" applyProtection="1">
      <alignment horizontal="left" vertical="center" wrapText="1"/>
      <protection hidden="1"/>
    </xf>
    <xf numFmtId="0" fontId="64" fillId="13" borderId="50" xfId="3" applyFont="1" applyFill="1" applyBorder="1" applyAlignment="1" applyProtection="1">
      <alignment horizontal="center" vertical="center"/>
      <protection hidden="1"/>
    </xf>
    <xf numFmtId="0" fontId="64" fillId="13" borderId="51" xfId="3" applyFont="1" applyFill="1" applyBorder="1" applyAlignment="1" applyProtection="1">
      <alignment horizontal="center" vertical="center"/>
      <protection hidden="1"/>
    </xf>
    <xf numFmtId="0" fontId="78" fillId="13" borderId="57" xfId="2" applyFont="1" applyFill="1" applyBorder="1" applyAlignment="1" applyProtection="1">
      <alignment horizontal="left" vertical="center" wrapText="1" readingOrder="1"/>
      <protection hidden="1"/>
    </xf>
    <xf numFmtId="0" fontId="78" fillId="13" borderId="79" xfId="2" applyFont="1" applyFill="1" applyBorder="1" applyAlignment="1" applyProtection="1">
      <alignment horizontal="left" vertical="center" wrapText="1" readingOrder="1"/>
      <protection hidden="1"/>
    </xf>
    <xf numFmtId="0" fontId="78" fillId="13" borderId="80" xfId="2" applyFont="1" applyFill="1" applyBorder="1" applyAlignment="1" applyProtection="1">
      <alignment horizontal="left" vertical="center" wrapText="1" readingOrder="1"/>
      <protection hidden="1"/>
    </xf>
    <xf numFmtId="0" fontId="78" fillId="13" borderId="83" xfId="2" applyFont="1" applyFill="1" applyBorder="1" applyAlignment="1" applyProtection="1">
      <alignment horizontal="left" vertical="center" wrapText="1" readingOrder="1"/>
      <protection hidden="1"/>
    </xf>
    <xf numFmtId="0" fontId="78" fillId="13" borderId="84" xfId="2" applyFont="1" applyFill="1" applyBorder="1" applyAlignment="1" applyProtection="1">
      <alignment horizontal="left" vertical="center" wrapText="1" readingOrder="1"/>
      <protection hidden="1"/>
    </xf>
    <xf numFmtId="0" fontId="35" fillId="13" borderId="45" xfId="3" applyFont="1" applyFill="1" applyBorder="1" applyAlignment="1" applyProtection="1">
      <alignment horizontal="center" vertical="center" wrapText="1"/>
      <protection hidden="1"/>
    </xf>
    <xf numFmtId="0" fontId="35" fillId="13" borderId="54" xfId="3" applyFont="1" applyFill="1" applyBorder="1" applyAlignment="1" applyProtection="1">
      <alignment horizontal="center" vertical="center" wrapText="1"/>
      <protection hidden="1"/>
    </xf>
    <xf numFmtId="0" fontId="35" fillId="13" borderId="38" xfId="3" applyFont="1" applyFill="1" applyBorder="1" applyAlignment="1" applyProtection="1">
      <alignment horizontal="center" vertical="center" wrapText="1"/>
      <protection hidden="1"/>
    </xf>
    <xf numFmtId="0" fontId="2" fillId="13" borderId="33" xfId="3" applyFont="1" applyFill="1" applyBorder="1" applyAlignment="1" applyProtection="1">
      <alignment horizontal="center" vertical="center" wrapText="1"/>
      <protection hidden="1"/>
    </xf>
    <xf numFmtId="0" fontId="2" fillId="13" borderId="35" xfId="3" applyFont="1" applyFill="1" applyBorder="1" applyAlignment="1" applyProtection="1">
      <alignment horizontal="center" vertical="center" wrapText="1"/>
      <protection hidden="1"/>
    </xf>
    <xf numFmtId="0" fontId="2" fillId="13" borderId="1" xfId="3" applyFont="1" applyFill="1" applyBorder="1" applyAlignment="1" applyProtection="1">
      <alignment horizontal="center" vertical="center" wrapText="1"/>
      <protection hidden="1"/>
    </xf>
    <xf numFmtId="0" fontId="2" fillId="13" borderId="36" xfId="3" applyFont="1" applyFill="1" applyBorder="1" applyAlignment="1" applyProtection="1">
      <alignment horizontal="center" vertical="center" wrapText="1"/>
      <protection hidden="1"/>
    </xf>
    <xf numFmtId="0" fontId="4" fillId="13" borderId="45" xfId="3" applyFont="1" applyFill="1" applyBorder="1" applyAlignment="1" applyProtection="1">
      <alignment horizontal="center" vertical="center" wrapText="1"/>
      <protection hidden="1"/>
    </xf>
    <xf numFmtId="0" fontId="4" fillId="13" borderId="54" xfId="3" applyFont="1" applyFill="1" applyBorder="1" applyAlignment="1" applyProtection="1">
      <alignment horizontal="center" vertical="center"/>
      <protection hidden="1"/>
    </xf>
    <xf numFmtId="0" fontId="4" fillId="13" borderId="56" xfId="3" applyFont="1" applyFill="1" applyBorder="1" applyAlignment="1" applyProtection="1">
      <alignment horizontal="center" vertical="center"/>
      <protection hidden="1"/>
    </xf>
    <xf numFmtId="0" fontId="75" fillId="13" borderId="33" xfId="2" applyFont="1" applyFill="1" applyBorder="1" applyAlignment="1" applyProtection="1">
      <alignment horizontal="center" vertical="center" wrapText="1"/>
      <protection hidden="1"/>
    </xf>
    <xf numFmtId="0" fontId="75" fillId="13" borderId="34" xfId="2" applyFont="1" applyFill="1" applyBorder="1" applyAlignment="1" applyProtection="1">
      <alignment horizontal="center" vertical="center" wrapText="1"/>
      <protection hidden="1"/>
    </xf>
    <xf numFmtId="0" fontId="75" fillId="13" borderId="3" xfId="2" applyFont="1" applyFill="1" applyBorder="1" applyAlignment="1" applyProtection="1">
      <alignment horizontal="center" vertical="center" wrapText="1"/>
      <protection hidden="1"/>
    </xf>
    <xf numFmtId="0" fontId="64" fillId="13" borderId="39" xfId="3" applyFont="1" applyFill="1" applyBorder="1" applyAlignment="1" applyProtection="1">
      <alignment horizontal="center" vertical="center" wrapText="1"/>
      <protection hidden="1"/>
    </xf>
    <xf numFmtId="0" fontId="64" fillId="13" borderId="40" xfId="3" applyFont="1" applyFill="1" applyBorder="1" applyAlignment="1" applyProtection="1">
      <alignment horizontal="center" vertical="center" wrapText="1"/>
      <protection hidden="1"/>
    </xf>
    <xf numFmtId="0" fontId="2" fillId="13" borderId="34" xfId="3" applyFont="1" applyFill="1" applyBorder="1" applyAlignment="1" applyProtection="1">
      <alignment horizontal="center" vertical="center" wrapText="1"/>
      <protection hidden="1"/>
    </xf>
    <xf numFmtId="0" fontId="2" fillId="13" borderId="41" xfId="3" applyFont="1" applyFill="1" applyBorder="1" applyAlignment="1" applyProtection="1">
      <alignment horizontal="center" vertical="center" wrapText="1"/>
      <protection hidden="1"/>
    </xf>
    <xf numFmtId="0" fontId="56" fillId="10" borderId="0" xfId="3" applyFont="1" applyFill="1" applyBorder="1" applyAlignment="1" applyProtection="1">
      <alignment horizontal="left" vertical="center" wrapText="1"/>
      <protection hidden="1"/>
    </xf>
  </cellXfs>
  <cellStyles count="8">
    <cellStyle name="Percent 3" xfId="6" xr:uid="{00000000-0005-0000-0000-000000000000}"/>
    <cellStyle name="百分比" xfId="1" builtinId="5"/>
    <cellStyle name="百分比 2" xfId="7" xr:uid="{00000000-0005-0000-0000-000002000000}"/>
    <cellStyle name="常规" xfId="0" builtinId="0"/>
    <cellStyle name="常规 2" xfId="2" xr:uid="{00000000-0005-0000-0000-000004000000}"/>
    <cellStyle name="常规 3" xfId="3" xr:uid="{00000000-0005-0000-0000-000005000000}"/>
    <cellStyle name="超链接" xfId="5" builtinId="8"/>
    <cellStyle name="千位分隔 2" xfId="4" xr:uid="{00000000-0005-0000-0000-000007000000}"/>
  </cellStyles>
  <dxfs count="96">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FF0000"/>
      </font>
    </dxf>
    <dxf>
      <font>
        <strike/>
        <color theme="0" tint="-0.34998626667073579"/>
      </font>
    </dxf>
    <dxf>
      <font>
        <strike/>
        <color rgb="FFFF0000"/>
      </font>
    </dxf>
    <dxf>
      <font>
        <strike/>
        <color rgb="FFFF0000"/>
      </font>
    </dxf>
    <dxf>
      <font>
        <strike/>
        <color rgb="FFFF0000"/>
      </font>
    </dxf>
    <dxf>
      <font>
        <b/>
        <i val="0"/>
        <color rgb="FFFF0000"/>
      </font>
    </dxf>
    <dxf>
      <font>
        <color rgb="FFFF0000"/>
      </font>
    </dxf>
    <dxf>
      <font>
        <b/>
        <i val="0"/>
        <strike/>
        <color rgb="FFFF000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strike/>
        <color theme="0" tint="-0.34998626667073579"/>
      </font>
    </dxf>
    <dxf>
      <font>
        <strike/>
        <color rgb="FFFF0000"/>
      </font>
    </dxf>
    <dxf>
      <font>
        <strike/>
        <color rgb="FFFF0000"/>
      </font>
    </dxf>
    <dxf>
      <font>
        <strike/>
        <color rgb="FFFF0000"/>
      </font>
    </dxf>
    <dxf>
      <font>
        <strike/>
        <color rgb="FFFF0000"/>
      </font>
    </dxf>
    <dxf>
      <font>
        <strike/>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theme="1"/>
      </font>
    </dxf>
    <dxf>
      <font>
        <color theme="1"/>
      </font>
    </dxf>
    <dxf>
      <font>
        <strike/>
        <color theme="0" tint="-0.34998626667073579"/>
      </font>
    </dxf>
    <dxf>
      <font>
        <strike/>
        <color theme="0" tint="-0.34998626667073579"/>
      </font>
    </dxf>
    <dxf>
      <font>
        <color rgb="FFFF0000"/>
      </font>
    </dxf>
    <dxf>
      <font>
        <strike/>
        <color rgb="FFFF0000"/>
      </font>
    </dxf>
    <dxf>
      <font>
        <color rgb="FFFF0000"/>
      </font>
    </dxf>
    <dxf>
      <font>
        <b/>
        <i val="0"/>
        <strike/>
        <color rgb="FFFF0000"/>
      </font>
    </dxf>
    <dxf>
      <font>
        <color rgb="FFFF0000"/>
      </font>
    </dxf>
    <dxf>
      <font>
        <color rgb="FFFF0000"/>
      </font>
    </dxf>
    <dxf>
      <font>
        <color rgb="FFFF0000"/>
      </font>
    </dxf>
    <dxf>
      <font>
        <color rgb="FFFF0000"/>
      </font>
    </dxf>
    <dxf>
      <font>
        <color theme="1"/>
      </font>
    </dxf>
    <dxf>
      <font>
        <color theme="1"/>
      </font>
    </dxf>
    <dxf>
      <font>
        <strike/>
        <color theme="0" tint="-0.34998626667073579"/>
      </font>
    </dxf>
    <dxf>
      <font>
        <strike/>
        <color theme="0" tint="-0.34998626667073579"/>
      </font>
    </dxf>
    <dxf>
      <font>
        <color rgb="FFFF0000"/>
      </font>
    </dxf>
    <dxf>
      <font>
        <strike/>
        <color rgb="FFFF0000"/>
      </font>
    </dxf>
    <dxf>
      <font>
        <color rgb="FFFF0000"/>
      </font>
    </dxf>
    <dxf>
      <font>
        <b/>
        <i val="0"/>
        <strike/>
        <color rgb="FFFF0000"/>
      </font>
    </dxf>
    <dxf>
      <font>
        <b/>
        <i val="0"/>
        <color rgb="FFFF0000"/>
      </font>
      <fill>
        <patternFill>
          <bgColor rgb="FFFFFF00"/>
        </patternFill>
      </fill>
    </dxf>
    <dxf>
      <font>
        <b/>
        <i val="0"/>
        <color rgb="FFFF0000"/>
      </font>
      <fill>
        <patternFill>
          <bgColor rgb="FFFFFF00"/>
        </patternFill>
      </fill>
    </dxf>
    <dxf>
      <font>
        <color rgb="FFFF0000"/>
      </font>
    </dxf>
    <dxf>
      <font>
        <color rgb="FFFF0000"/>
      </font>
    </dxf>
    <dxf>
      <font>
        <b/>
        <i val="0"/>
        <color theme="0" tint="-0.34998626667073579"/>
      </font>
    </dxf>
    <dxf>
      <font>
        <strike/>
        <color theme="0" tint="-0.34998626667073579"/>
      </font>
    </dxf>
    <dxf>
      <font>
        <strike/>
        <color theme="0" tint="-0.34998626667073579"/>
      </font>
    </dxf>
    <dxf>
      <font>
        <strike/>
        <color theme="0" tint="-0.34998626667073579"/>
      </font>
    </dxf>
    <dxf>
      <font>
        <b/>
        <i val="0"/>
        <color rgb="FFFF0000"/>
      </font>
    </dxf>
    <dxf>
      <font>
        <b/>
        <i val="0"/>
        <color rgb="FFFF0000"/>
      </font>
      <fill>
        <patternFill>
          <bgColor rgb="FFFFFF0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b/>
        <i val="0"/>
        <color rgb="FFFF0000"/>
      </font>
    </dxf>
    <dxf>
      <font>
        <b/>
        <i val="0"/>
        <color rgb="FFFF0000"/>
      </font>
      <fill>
        <patternFill>
          <bgColor rgb="FFFFFF00"/>
        </patternFill>
      </fill>
    </dxf>
    <dxf>
      <font>
        <color theme="1"/>
      </font>
    </dxf>
    <dxf>
      <font>
        <color rgb="FFFF0000"/>
      </font>
    </dxf>
    <dxf>
      <font>
        <color rgb="FFFF0000"/>
      </font>
    </dxf>
    <dxf>
      <font>
        <color rgb="FFFF0000"/>
      </font>
    </dxf>
    <dxf>
      <font>
        <color theme="1"/>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b/>
        <i val="0"/>
        <color rgb="FFFF0000"/>
      </font>
      <fill>
        <patternFill>
          <bgColor rgb="FFFFFF00"/>
        </patternFill>
      </fill>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1</xdr:col>
      <xdr:colOff>71358</xdr:colOff>
      <xdr:row>0</xdr:row>
      <xdr:rowOff>38101</xdr:rowOff>
    </xdr:from>
    <xdr:ext cx="14764551" cy="972446"/>
    <xdr:sp macro="" textlink="">
      <xdr:nvSpPr>
        <xdr:cNvPr id="2" name="矩形 1">
          <a:extLst>
            <a:ext uri="{FF2B5EF4-FFF2-40B4-BE49-F238E27FC236}">
              <a16:creationId xmlns:a16="http://schemas.microsoft.com/office/drawing/2014/main" id="{00000000-0008-0000-0000-000002000000}"/>
            </a:ext>
          </a:extLst>
        </xdr:cNvPr>
        <xdr:cNvSpPr/>
      </xdr:nvSpPr>
      <xdr:spPr>
        <a:xfrm>
          <a:off x="359994" y="38101"/>
          <a:ext cx="14764551" cy="972446"/>
        </a:xfrm>
        <a:prstGeom prst="rect">
          <a:avLst/>
        </a:prstGeom>
        <a:noFill/>
      </xdr:spPr>
      <xdr:txBody>
        <a:bodyPr wrap="square" lIns="91440" tIns="45720" rIns="91440" bIns="45720">
          <a:spAutoFit/>
        </a:bodyPr>
        <a:lstStyle/>
        <a:p>
          <a:pPr algn="l"/>
          <a:r>
            <a:rPr lang="zh-CN" altLang="en-US"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试算路径：</a:t>
          </a:r>
          <a:r>
            <a:rPr lang="en-US" altLang="zh-CN"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1</a:t>
          </a:r>
          <a:r>
            <a:rPr lang="zh-CN" altLang="en-US"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、“小管家</a:t>
          </a:r>
          <a:r>
            <a:rPr lang="en-US" altLang="zh-CN"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APP</a:t>
          </a:r>
          <a:r>
            <a:rPr lang="zh-CN" altLang="en-US"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”试算模块进行试算；（</a:t>
          </a:r>
          <a:r>
            <a:rPr lang="zh-CN" altLang="zh-CN"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cs typeface="+mn-cs"/>
            </a:rPr>
            <a:t>推荐销售顾问</a:t>
          </a:r>
          <a:r>
            <a:rPr lang="en-US" altLang="zh-CN"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cs typeface="+mn-cs"/>
            </a:rPr>
            <a:t>/DCC</a:t>
          </a:r>
          <a:r>
            <a:rPr lang="zh-CN" altLang="zh-CN" sz="2000" b="1" cap="none" spc="0">
              <a:ln w="0"/>
              <a:solidFill>
                <a:srgbClr val="C00000"/>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cs typeface="+mn-cs"/>
            </a:rPr>
            <a:t>手机端</a:t>
          </a:r>
          <a:r>
            <a:rPr lang="zh-CN" altLang="zh-CN"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cs typeface="+mn-cs"/>
            </a:rPr>
            <a:t>测算使用</a:t>
          </a:r>
          <a:r>
            <a:rPr lang="zh-CN" altLang="en-US"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cs typeface="+mn-cs"/>
            </a:rPr>
            <a:t>，更新快，目前支持</a:t>
          </a:r>
          <a:r>
            <a:rPr lang="zh-CN" altLang="en-US"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试算“等额本息类、智慧贷类”还款方式的产品）</a:t>
          </a:r>
          <a:endParaRPr lang="en-US" altLang="zh-CN"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endParaRPr>
        </a:p>
        <a:p>
          <a:pPr algn="l"/>
          <a:r>
            <a:rPr lang="en-US" altLang="zh-CN"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                 2</a:t>
          </a:r>
          <a:r>
            <a:rPr lang="zh-CN" altLang="en-US"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a:t>
          </a:r>
          <a:r>
            <a:rPr lang="en-US" altLang="zh-CN"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EXCEL</a:t>
          </a:r>
          <a:r>
            <a:rPr lang="zh-CN" altLang="en-US"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试算参考表。（推荐</a:t>
          </a:r>
          <a:r>
            <a:rPr lang="en-US" altLang="zh-CN" sz="2000" b="1" cap="none" spc="0">
              <a:ln w="0"/>
              <a:solidFill>
                <a:srgbClr val="C00000"/>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PC</a:t>
          </a:r>
          <a:r>
            <a:rPr lang="zh-CN" altLang="en-US" sz="2000" b="1" cap="none" spc="0">
              <a:ln w="0"/>
              <a:solidFill>
                <a:srgbClr val="C00000"/>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端</a:t>
          </a:r>
          <a:r>
            <a:rPr lang="zh-CN" altLang="en-US"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测算使用，厂商贴息方案需</a:t>
          </a:r>
          <a:r>
            <a:rPr lang="zh-CN" altLang="en-US" sz="1600" b="1" cap="none" spc="0">
              <a:ln w="0"/>
              <a:solidFill>
                <a:srgbClr val="C00000"/>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准确</a:t>
          </a:r>
          <a:r>
            <a:rPr lang="zh-CN" altLang="en-US"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选择</a:t>
          </a:r>
          <a:r>
            <a:rPr lang="zh-CN" altLang="en-US" sz="1600" b="1" cap="none" spc="0">
              <a:ln w="0"/>
              <a:solidFill>
                <a:srgbClr val="C00000"/>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车型</a:t>
          </a:r>
          <a:r>
            <a:rPr lang="zh-CN" altLang="en-US"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cs typeface="+mn-cs"/>
            </a:rPr>
            <a:t>并</a:t>
          </a:r>
          <a:r>
            <a:rPr lang="zh-CN" altLang="en-US"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及核对车辆的</a:t>
          </a:r>
          <a:r>
            <a:rPr lang="en-US" altLang="zh-CN" sz="1600" b="1" cap="none" spc="0">
              <a:ln w="0"/>
              <a:solidFill>
                <a:srgbClr val="C00000"/>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cs typeface="+mn-cs"/>
            </a:rPr>
            <a:t>MSRP-</a:t>
          </a:r>
          <a:r>
            <a:rPr lang="zh-CN" altLang="en-US" sz="1600" b="1" cap="none" spc="0">
              <a:ln w="0"/>
              <a:solidFill>
                <a:srgbClr val="C00000"/>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市场指导价</a:t>
          </a:r>
          <a:r>
            <a:rPr lang="zh-CN" altLang="en-US"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a:t>
          </a:r>
          <a:endParaRPr lang="en-US" altLang="zh-CN" sz="16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938009</xdr:colOff>
      <xdr:row>0</xdr:row>
      <xdr:rowOff>0</xdr:rowOff>
    </xdr:from>
    <xdr:ext cx="4755825" cy="884345"/>
    <xdr:sp macro="" textlink="">
      <xdr:nvSpPr>
        <xdr:cNvPr id="2" name="矩形 1">
          <a:extLst>
            <a:ext uri="{FF2B5EF4-FFF2-40B4-BE49-F238E27FC236}">
              <a16:creationId xmlns:a16="http://schemas.microsoft.com/office/drawing/2014/main" id="{00000000-0008-0000-0600-000002000000}"/>
            </a:ext>
          </a:extLst>
        </xdr:cNvPr>
        <xdr:cNvSpPr/>
      </xdr:nvSpPr>
      <xdr:spPr>
        <a:xfrm>
          <a:off x="3897109" y="0"/>
          <a:ext cx="4755825" cy="884345"/>
        </a:xfrm>
        <a:prstGeom prst="rect">
          <a:avLst/>
        </a:prstGeom>
        <a:noFill/>
      </xdr:spPr>
      <xdr:txBody>
        <a:bodyPr wrap="square" lIns="91440" tIns="45720" rIns="91440" bIns="4572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zh-CN" altLang="en-US" sz="3600" b="0" i="0" u="none" strike="noStrike" kern="0" cap="none" spc="0" normalizeH="0" baseline="0" noProof="0">
              <a:ln w="0"/>
              <a:solidFill>
                <a:srgbClr val="0070C0"/>
              </a:solidFill>
              <a:effectLst>
                <a:reflection blurRad="6350" stA="53000" endA="300" endPos="35500" dir="5400000" sy="-90000" algn="bl" rotWithShape="0"/>
              </a:effectLst>
              <a:uLnTx/>
              <a:uFillTx/>
              <a:latin typeface="华文琥珀" panose="02010800040101010101" pitchFamily="2" charset="-122"/>
              <a:ea typeface="华文琥珀" panose="02010800040101010101" pitchFamily="2" charset="-122"/>
              <a:cs typeface="+mn-cs"/>
            </a:rPr>
            <a:t>非厂贴</a:t>
          </a:r>
          <a:r>
            <a:rPr lang="en-US" altLang="zh-CN"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rPr>
            <a:t> </a:t>
          </a:r>
          <a:r>
            <a:rPr lang="zh-CN" altLang="en-US"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rPr>
            <a:t>“双优贷</a:t>
          </a:r>
          <a:r>
            <a:rPr lang="en-US" altLang="zh-CN"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rPr>
            <a:t>2.0</a:t>
          </a:r>
          <a:r>
            <a:rPr lang="zh-CN" altLang="en-US"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rPr>
            <a:t>”</a:t>
          </a:r>
          <a:endParaRPr lang="zh-CN" altLang="zh-CN"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3</xdr:col>
      <xdr:colOff>938009</xdr:colOff>
      <xdr:row>0</xdr:row>
      <xdr:rowOff>0</xdr:rowOff>
    </xdr:from>
    <xdr:ext cx="4597075" cy="884345"/>
    <xdr:sp macro="" textlink="">
      <xdr:nvSpPr>
        <xdr:cNvPr id="2" name="矩形 1">
          <a:extLst>
            <a:ext uri="{FF2B5EF4-FFF2-40B4-BE49-F238E27FC236}">
              <a16:creationId xmlns:a16="http://schemas.microsoft.com/office/drawing/2014/main" id="{00000000-0008-0000-0700-000002000000}"/>
            </a:ext>
          </a:extLst>
        </xdr:cNvPr>
        <xdr:cNvSpPr/>
      </xdr:nvSpPr>
      <xdr:spPr>
        <a:xfrm>
          <a:off x="3897109" y="0"/>
          <a:ext cx="4597075" cy="884345"/>
        </a:xfrm>
        <a:prstGeom prst="rect">
          <a:avLst/>
        </a:prstGeom>
        <a:noFill/>
      </xdr:spPr>
      <xdr:txBody>
        <a:bodyPr wrap="square" lIns="91440" tIns="45720" rIns="91440" bIns="4572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zh-CN" altLang="en-US" sz="3600" b="0" i="0" u="none" strike="noStrike" kern="0" cap="none" spc="0" normalizeH="0" baseline="0" noProof="0">
              <a:ln w="0"/>
              <a:solidFill>
                <a:srgbClr val="0070C0"/>
              </a:solidFill>
              <a:effectLst>
                <a:reflection blurRad="6350" stA="53000" endA="300" endPos="35500" dir="5400000" sy="-90000" algn="bl" rotWithShape="0"/>
              </a:effectLst>
              <a:uLnTx/>
              <a:uFillTx/>
              <a:latin typeface="华文琥珀" panose="02010800040101010101" pitchFamily="2" charset="-122"/>
              <a:ea typeface="华文琥珀" panose="02010800040101010101" pitchFamily="2" charset="-122"/>
              <a:cs typeface="+mn-cs"/>
            </a:rPr>
            <a:t>非厂贴</a:t>
          </a:r>
          <a:r>
            <a:rPr lang="en-US" altLang="zh-CN"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rPr>
            <a:t> </a:t>
          </a:r>
          <a:r>
            <a:rPr lang="zh-CN" altLang="en-US"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rPr>
            <a:t>“双优贷</a:t>
          </a:r>
          <a:r>
            <a:rPr lang="en-US" altLang="zh-CN"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rPr>
            <a:t>1.0</a:t>
          </a:r>
          <a:r>
            <a:rPr lang="zh-CN" altLang="en-US"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rPr>
            <a:t>”</a:t>
          </a:r>
          <a:endParaRPr lang="zh-CN" altLang="zh-CN"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9</xdr:col>
      <xdr:colOff>268542</xdr:colOff>
      <xdr:row>0</xdr:row>
      <xdr:rowOff>76200</xdr:rowOff>
    </xdr:from>
    <xdr:ext cx="3877985" cy="711220"/>
    <xdr:sp macro="" textlink="">
      <xdr:nvSpPr>
        <xdr:cNvPr id="2" name="矩形 1">
          <a:extLst>
            <a:ext uri="{FF2B5EF4-FFF2-40B4-BE49-F238E27FC236}">
              <a16:creationId xmlns:a16="http://schemas.microsoft.com/office/drawing/2014/main" id="{00000000-0008-0000-0800-000002000000}"/>
            </a:ext>
          </a:extLst>
        </xdr:cNvPr>
        <xdr:cNvSpPr/>
      </xdr:nvSpPr>
      <xdr:spPr>
        <a:xfrm>
          <a:off x="9634792" y="76200"/>
          <a:ext cx="3877985" cy="711220"/>
        </a:xfrm>
        <a:prstGeom prst="rect">
          <a:avLst/>
        </a:prstGeom>
        <a:noFill/>
      </xdr:spPr>
      <xdr:txBody>
        <a:bodyPr wrap="none" lIns="91440" tIns="45720" rIns="91440" bIns="4572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CN" altLang="en-US" sz="3600" b="0" cap="none" spc="0">
              <a:ln w="0"/>
              <a:solidFill>
                <a:srgbClr val="0070C0"/>
              </a:solidFill>
              <a:effectLst>
                <a:reflection blurRad="6350" stA="53000" endA="300" endPos="35500" dir="5400000" sy="-90000" algn="bl" rotWithShape="0"/>
              </a:effectLst>
              <a:latin typeface="华文琥珀" panose="02010800040101010101" pitchFamily="2" charset="-122"/>
              <a:ea typeface="华文琥珀" panose="02010800040101010101" pitchFamily="2" charset="-122"/>
            </a:rPr>
            <a:t>非厂贴</a:t>
          </a:r>
          <a:r>
            <a:rPr lang="zh-CN" altLang="en-US" sz="3600" b="0" cap="none" spc="0">
              <a:ln w="0"/>
              <a:solidFill>
                <a:srgbClr val="002060"/>
              </a:solidFill>
              <a:effectLst>
                <a:reflection blurRad="6350" stA="53000" endA="300" endPos="35500" dir="5400000" sy="-90000" algn="bl" rotWithShape="0"/>
              </a:effectLst>
              <a:latin typeface="华文琥珀" panose="02010800040101010101" pitchFamily="2" charset="-122"/>
              <a:ea typeface="华文琥珀" panose="02010800040101010101" pitchFamily="2" charset="-122"/>
            </a:rPr>
            <a:t>“新通用”</a:t>
          </a:r>
          <a:endParaRPr lang="zh-CN" altLang="zh-CN" sz="3600">
            <a:solidFill>
              <a:srgbClr val="002060"/>
            </a:solidFill>
            <a:effectLst/>
            <a:latin typeface="华文琥珀" panose="02010800040101010101" pitchFamily="2" charset="-122"/>
            <a:ea typeface="华文琥珀" panose="02010800040101010101" pitchFamily="2" charset="-122"/>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473626</xdr:colOff>
      <xdr:row>0</xdr:row>
      <xdr:rowOff>63500</xdr:rowOff>
    </xdr:from>
    <xdr:ext cx="4801314" cy="711220"/>
    <xdr:sp macro="" textlink="">
      <xdr:nvSpPr>
        <xdr:cNvPr id="2" name="矩形 1">
          <a:extLst>
            <a:ext uri="{FF2B5EF4-FFF2-40B4-BE49-F238E27FC236}">
              <a16:creationId xmlns:a16="http://schemas.microsoft.com/office/drawing/2014/main" id="{00000000-0008-0000-0900-000002000000}"/>
            </a:ext>
          </a:extLst>
        </xdr:cNvPr>
        <xdr:cNvSpPr/>
      </xdr:nvSpPr>
      <xdr:spPr>
        <a:xfrm>
          <a:off x="8849276" y="63500"/>
          <a:ext cx="4801314" cy="711220"/>
        </a:xfrm>
        <a:prstGeom prst="rect">
          <a:avLst/>
        </a:prstGeom>
        <a:noFill/>
      </xdr:spPr>
      <xdr:txBody>
        <a:bodyPr wrap="none" lIns="91440" tIns="45720" rIns="91440" bIns="4572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CN" altLang="en-US" sz="3600" b="0" cap="none" spc="0">
              <a:ln w="0"/>
              <a:solidFill>
                <a:srgbClr val="0070C0"/>
              </a:solidFill>
              <a:effectLst>
                <a:reflection blurRad="6350" stA="53000" endA="300" endPos="35500" dir="5400000" sy="-90000" algn="bl" rotWithShape="0"/>
              </a:effectLst>
              <a:latin typeface="华文琥珀" panose="02010800040101010101" pitchFamily="2" charset="-122"/>
              <a:ea typeface="华文琥珀" panose="02010800040101010101" pitchFamily="2" charset="-122"/>
            </a:rPr>
            <a:t>经销商贴息</a:t>
          </a:r>
          <a:r>
            <a:rPr lang="zh-CN" altLang="en-US" sz="3600" b="0" cap="none" spc="0">
              <a:ln w="0"/>
              <a:solidFill>
                <a:srgbClr val="002060"/>
              </a:solidFill>
              <a:effectLst>
                <a:reflection blurRad="6350" stA="53000" endA="300" endPos="35500" dir="5400000" sy="-90000" algn="bl" rotWithShape="0"/>
              </a:effectLst>
              <a:latin typeface="华文琥珀" panose="02010800040101010101" pitchFamily="2" charset="-122"/>
              <a:ea typeface="华文琥珀" panose="02010800040101010101" pitchFamily="2" charset="-122"/>
            </a:rPr>
            <a:t>“新通用”</a:t>
          </a:r>
          <a:endParaRPr lang="zh-CN" altLang="zh-CN" sz="3600">
            <a:solidFill>
              <a:srgbClr val="002060"/>
            </a:solidFill>
            <a:effectLst/>
            <a:latin typeface="华文琥珀" panose="02010800040101010101" pitchFamily="2" charset="-122"/>
            <a:ea typeface="华文琥珀" panose="02010800040101010101" pitchFamily="2" charset="-122"/>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4</xdr:col>
      <xdr:colOff>666749</xdr:colOff>
      <xdr:row>3</xdr:row>
      <xdr:rowOff>293686</xdr:rowOff>
    </xdr:from>
    <xdr:to>
      <xdr:col>12</xdr:col>
      <xdr:colOff>261938</xdr:colOff>
      <xdr:row>11</xdr:row>
      <xdr:rowOff>47624</xdr:rowOff>
    </xdr:to>
    <xdr:sp macro="" textlink="">
      <xdr:nvSpPr>
        <xdr:cNvPr id="2" name="圆角矩形 1">
          <a:extLst>
            <a:ext uri="{FF2B5EF4-FFF2-40B4-BE49-F238E27FC236}">
              <a16:creationId xmlns:a16="http://schemas.microsoft.com/office/drawing/2014/main" id="{00000000-0008-0000-0A00-000002000000}"/>
            </a:ext>
          </a:extLst>
        </xdr:cNvPr>
        <xdr:cNvSpPr/>
      </xdr:nvSpPr>
      <xdr:spPr>
        <a:xfrm>
          <a:off x="7619999" y="1398586"/>
          <a:ext cx="7062789" cy="2725738"/>
        </a:xfrm>
        <a:prstGeom prst="roundRect">
          <a:avLst/>
        </a:prstGeom>
        <a:solidFill>
          <a:schemeClr val="tx2">
            <a:lumMod val="40000"/>
            <a:lumOff val="60000"/>
          </a:schemeClr>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zh-CN" altLang="en-US" sz="1100">
              <a:latin typeface="微软雅黑" panose="020B0503020204020204" pitchFamily="34" charset="-122"/>
              <a:ea typeface="微软雅黑" panose="020B0503020204020204" pitchFamily="34" charset="-122"/>
            </a:rPr>
            <a:t>注：</a:t>
          </a:r>
          <a:endParaRPr lang="en-US" altLang="zh-CN" sz="1100">
            <a:latin typeface="微软雅黑" panose="020B0503020204020204" pitchFamily="34" charset="-122"/>
            <a:ea typeface="微软雅黑" panose="020B0503020204020204" pitchFamily="34" charset="-122"/>
          </a:endParaRPr>
        </a:p>
        <a:p>
          <a:pPr algn="l"/>
          <a:r>
            <a:rPr lang="zh-CN" altLang="en-US" sz="1100">
              <a:latin typeface="微软雅黑" panose="020B0503020204020204" pitchFamily="34" charset="-122"/>
              <a:ea typeface="微软雅黑" panose="020B0503020204020204" pitchFamily="34" charset="-122"/>
            </a:rPr>
            <a:t>仅“新能源</a:t>
          </a:r>
          <a:r>
            <a:rPr lang="en-US" altLang="zh-CN" sz="1100">
              <a:latin typeface="微软雅黑" panose="020B0503020204020204" pitchFamily="34" charset="-122"/>
              <a:ea typeface="微软雅黑" panose="020B0503020204020204" pitchFamily="34" charset="-122"/>
            </a:rPr>
            <a:t>-</a:t>
          </a:r>
          <a:r>
            <a:rPr lang="zh-CN" altLang="en-US" sz="1100">
              <a:latin typeface="微软雅黑" panose="020B0503020204020204" pitchFamily="34" charset="-122"/>
              <a:ea typeface="微软雅黑" panose="020B0503020204020204" pitchFamily="34" charset="-122"/>
            </a:rPr>
            <a:t>个人新车</a:t>
          </a:r>
          <a:r>
            <a:rPr lang="en-US" altLang="zh-CN" sz="1100">
              <a:latin typeface="微软雅黑" panose="020B0503020204020204" pitchFamily="34" charset="-122"/>
              <a:ea typeface="微软雅黑" panose="020B0503020204020204" pitchFamily="34" charset="-122"/>
            </a:rPr>
            <a:t>-</a:t>
          </a:r>
          <a:r>
            <a:rPr lang="zh-CN" altLang="en-US" sz="1100">
              <a:latin typeface="微软雅黑" panose="020B0503020204020204" pitchFamily="34" charset="-122"/>
              <a:ea typeface="微软雅黑" panose="020B0503020204020204" pitchFamily="34" charset="-122"/>
            </a:rPr>
            <a:t>自用”附加贷申请首付低于</a:t>
          </a:r>
          <a:r>
            <a:rPr lang="en-US" altLang="zh-CN" sz="1100">
              <a:latin typeface="微软雅黑" panose="020B0503020204020204" pitchFamily="34" charset="-122"/>
              <a:ea typeface="微软雅黑" panose="020B0503020204020204" pitchFamily="34" charset="-122"/>
            </a:rPr>
            <a:t>20%</a:t>
          </a:r>
          <a:r>
            <a:rPr lang="zh-CN" altLang="en-US" sz="1100">
              <a:latin typeface="微软雅黑" panose="020B0503020204020204" pitchFamily="34" charset="-122"/>
              <a:ea typeface="微软雅黑" panose="020B0503020204020204" pitchFamily="34" charset="-122"/>
            </a:rPr>
            <a:t>时，拆分计算最高贷款金额。</a:t>
          </a:r>
          <a:endParaRPr lang="en-US" altLang="zh-CN" sz="1100">
            <a:latin typeface="微软雅黑" panose="020B0503020204020204" pitchFamily="34" charset="-122"/>
            <a:ea typeface="微软雅黑" panose="020B0503020204020204" pitchFamily="34" charset="-122"/>
          </a:endParaRPr>
        </a:p>
        <a:p>
          <a:pPr algn="l"/>
          <a:endParaRPr lang="en-US" altLang="zh-CN" sz="1100">
            <a:latin typeface="微软雅黑" panose="020B0503020204020204" pitchFamily="34" charset="-122"/>
            <a:ea typeface="微软雅黑" panose="020B0503020204020204" pitchFamily="34" charset="-122"/>
          </a:endParaRPr>
        </a:p>
        <a:p>
          <a:pPr algn="l"/>
          <a:r>
            <a:rPr lang="zh-CN" altLang="en-US" sz="1600" b="1" u="sng">
              <a:latin typeface="微软雅黑" panose="020B0503020204020204" pitchFamily="34" charset="-122"/>
              <a:ea typeface="微软雅黑" panose="020B0503020204020204" pitchFamily="34" charset="-122"/>
            </a:rPr>
            <a:t>最高贷款金额取：车辆开票价的</a:t>
          </a:r>
          <a:r>
            <a:rPr lang="en-US" altLang="zh-CN" sz="1600" b="1" u="sng">
              <a:latin typeface="微软雅黑" panose="020B0503020204020204" pitchFamily="34" charset="-122"/>
              <a:ea typeface="微软雅黑" panose="020B0503020204020204" pitchFamily="34" charset="-122"/>
            </a:rPr>
            <a:t>85%+</a:t>
          </a:r>
          <a:r>
            <a:rPr lang="zh-CN" altLang="en-US" sz="1600" b="1" u="sng">
              <a:latin typeface="微软雅黑" panose="020B0503020204020204" pitchFamily="34" charset="-122"/>
              <a:ea typeface="微软雅黑" panose="020B0503020204020204" pitchFamily="34" charset="-122"/>
            </a:rPr>
            <a:t>加融附加品总额的</a:t>
          </a:r>
          <a:r>
            <a:rPr lang="en-US" altLang="zh-CN" sz="1600" b="1" u="sng">
              <a:latin typeface="微软雅黑" panose="020B0503020204020204" pitchFamily="34" charset="-122"/>
              <a:ea typeface="微软雅黑" panose="020B0503020204020204" pitchFamily="34" charset="-122"/>
            </a:rPr>
            <a:t>80%</a:t>
          </a:r>
        </a:p>
        <a:p>
          <a:pPr algn="l"/>
          <a:endParaRPr lang="en-US" altLang="zh-CN" sz="1100">
            <a:latin typeface="微软雅黑" panose="020B0503020204020204" pitchFamily="34" charset="-122"/>
            <a:ea typeface="微软雅黑" panose="020B0503020204020204" pitchFamily="34" charset="-122"/>
          </a:endParaRPr>
        </a:p>
        <a:p>
          <a:pPr algn="l"/>
          <a:r>
            <a:rPr lang="zh-CN" altLang="en-US" sz="1100">
              <a:latin typeface="微软雅黑" panose="020B0503020204020204" pitchFamily="34" charset="-122"/>
              <a:ea typeface="微软雅黑" panose="020B0503020204020204" pitchFamily="34" charset="-122"/>
            </a:rPr>
            <a:t>（其他情形无变化，维持</a:t>
          </a:r>
          <a:r>
            <a:rPr lang="zh-CN" altLang="en-US" sz="1100" b="1">
              <a:latin typeface="微软雅黑" panose="020B0503020204020204" pitchFamily="34" charset="-122"/>
              <a:ea typeface="微软雅黑" panose="020B0503020204020204" pitchFamily="34" charset="-122"/>
            </a:rPr>
            <a:t>等比</a:t>
          </a:r>
          <a:r>
            <a:rPr lang="zh-CN" altLang="en-US" sz="1100">
              <a:latin typeface="微软雅黑" panose="020B0503020204020204" pitchFamily="34" charset="-122"/>
              <a:ea typeface="微软雅黑" panose="020B0503020204020204" pitchFamily="34" charset="-122"/>
            </a:rPr>
            <a:t>计算车辆贷款金额和加融附加品金额，如：</a:t>
          </a:r>
          <a:endParaRPr lang="en-US" altLang="zh-CN" sz="1100">
            <a:latin typeface="微软雅黑" panose="020B0503020204020204" pitchFamily="34" charset="-122"/>
            <a:ea typeface="微软雅黑" panose="020B0503020204020204" pitchFamily="34" charset="-122"/>
          </a:endParaRPr>
        </a:p>
        <a:p>
          <a:pPr algn="l"/>
          <a:r>
            <a:rPr lang="zh-CN" altLang="en-US" sz="1050">
              <a:solidFill>
                <a:schemeClr val="lt1"/>
              </a:solidFill>
              <a:effectLst/>
              <a:latin typeface="微软雅黑" panose="020B0503020204020204" pitchFamily="34" charset="-122"/>
              <a:ea typeface="微软雅黑" panose="020B0503020204020204" pitchFamily="34" charset="-122"/>
              <a:cs typeface="+mn-cs"/>
            </a:rPr>
            <a:t>传统动力个人新车自用</a:t>
          </a:r>
          <a:r>
            <a:rPr lang="zh-CN" altLang="zh-CN" sz="1050">
              <a:solidFill>
                <a:schemeClr val="lt1"/>
              </a:solidFill>
              <a:effectLst/>
              <a:latin typeface="微软雅黑" panose="020B0503020204020204" pitchFamily="34" charset="-122"/>
              <a:ea typeface="微软雅黑" panose="020B0503020204020204" pitchFamily="34" charset="-122"/>
              <a:cs typeface="+mn-cs"/>
            </a:rPr>
            <a:t>，最高贷款金额：总价的</a:t>
          </a:r>
          <a:r>
            <a:rPr lang="en-US" altLang="zh-CN" sz="1050">
              <a:solidFill>
                <a:schemeClr val="lt1"/>
              </a:solidFill>
              <a:effectLst/>
              <a:latin typeface="微软雅黑" panose="020B0503020204020204" pitchFamily="34" charset="-122"/>
              <a:ea typeface="微软雅黑" panose="020B0503020204020204" pitchFamily="34" charset="-122"/>
              <a:cs typeface="+mn-cs"/>
            </a:rPr>
            <a:t>80%</a:t>
          </a:r>
          <a:r>
            <a:rPr lang="zh-CN" altLang="zh-CN" sz="1050">
              <a:solidFill>
                <a:schemeClr val="lt1"/>
              </a:solidFill>
              <a:effectLst/>
              <a:latin typeface="微软雅黑" panose="020B0503020204020204" pitchFamily="34" charset="-122"/>
              <a:ea typeface="微软雅黑" panose="020B0503020204020204" pitchFamily="34" charset="-122"/>
              <a:cs typeface="+mn-cs"/>
            </a:rPr>
            <a:t>，</a:t>
          </a:r>
          <a:r>
            <a:rPr lang="zh-CN" altLang="en-US" sz="1050">
              <a:solidFill>
                <a:schemeClr val="lt1"/>
              </a:solidFill>
              <a:effectLst/>
              <a:latin typeface="微软雅黑" panose="020B0503020204020204" pitchFamily="34" charset="-122"/>
              <a:ea typeface="微软雅黑" panose="020B0503020204020204" pitchFamily="34" charset="-122"/>
              <a:cs typeface="+mn-cs"/>
            </a:rPr>
            <a:t>即车辆开票价</a:t>
          </a:r>
          <a:r>
            <a:rPr lang="zh-CN" altLang="zh-CN" sz="1050">
              <a:solidFill>
                <a:schemeClr val="lt1"/>
              </a:solidFill>
              <a:effectLst/>
              <a:latin typeface="微软雅黑" panose="020B0503020204020204" pitchFamily="34" charset="-122"/>
              <a:ea typeface="微软雅黑" panose="020B0503020204020204" pitchFamily="34" charset="-122"/>
              <a:cs typeface="+mn-cs"/>
            </a:rPr>
            <a:t>的</a:t>
          </a:r>
          <a:r>
            <a:rPr lang="en-US" altLang="zh-CN" sz="1050">
              <a:solidFill>
                <a:schemeClr val="lt1"/>
              </a:solidFill>
              <a:effectLst/>
              <a:latin typeface="微软雅黑" panose="020B0503020204020204" pitchFamily="34" charset="-122"/>
              <a:ea typeface="微软雅黑" panose="020B0503020204020204" pitchFamily="34" charset="-122"/>
              <a:cs typeface="+mn-cs"/>
            </a:rPr>
            <a:t>80%+</a:t>
          </a:r>
          <a:r>
            <a:rPr lang="zh-CN" altLang="zh-CN" sz="1050">
              <a:solidFill>
                <a:schemeClr val="lt1"/>
              </a:solidFill>
              <a:effectLst/>
              <a:latin typeface="微软雅黑" panose="020B0503020204020204" pitchFamily="34" charset="-122"/>
              <a:ea typeface="微软雅黑" panose="020B0503020204020204" pitchFamily="34" charset="-122"/>
              <a:cs typeface="+mn-cs"/>
            </a:rPr>
            <a:t>加融附加品总额的</a:t>
          </a:r>
          <a:r>
            <a:rPr lang="en-US" altLang="zh-CN" sz="1050">
              <a:solidFill>
                <a:schemeClr val="lt1"/>
              </a:solidFill>
              <a:effectLst/>
              <a:latin typeface="微软雅黑" panose="020B0503020204020204" pitchFamily="34" charset="-122"/>
              <a:ea typeface="微软雅黑" panose="020B0503020204020204" pitchFamily="34" charset="-122"/>
              <a:cs typeface="+mn-cs"/>
            </a:rPr>
            <a:t>80%</a:t>
          </a:r>
          <a:r>
            <a:rPr lang="zh-CN" altLang="en-US" sz="1050">
              <a:solidFill>
                <a:schemeClr val="lt1"/>
              </a:solidFill>
              <a:effectLst/>
              <a:latin typeface="微软雅黑" panose="020B0503020204020204" pitchFamily="34" charset="-122"/>
              <a:ea typeface="微软雅黑" panose="020B0503020204020204" pitchFamily="34" charset="-122"/>
              <a:cs typeface="+mn-cs"/>
            </a:rPr>
            <a:t>；</a:t>
          </a:r>
          <a:endParaRPr lang="en-US" altLang="zh-CN" sz="1050">
            <a:solidFill>
              <a:schemeClr val="lt1"/>
            </a:solidFill>
            <a:effectLst/>
            <a:latin typeface="微软雅黑" panose="020B0503020204020204" pitchFamily="34" charset="-122"/>
            <a:ea typeface="微软雅黑" panose="020B0503020204020204" pitchFamily="34" charset="-122"/>
            <a:cs typeface="+mn-cs"/>
          </a:endParaRPr>
        </a:p>
        <a:p>
          <a:pPr algn="l"/>
          <a:r>
            <a:rPr lang="zh-CN" altLang="en-US" sz="1100">
              <a:latin typeface="微软雅黑" panose="020B0503020204020204" pitchFamily="34" charset="-122"/>
              <a:ea typeface="微软雅黑" panose="020B0503020204020204" pitchFamily="34" charset="-122"/>
            </a:rPr>
            <a:t>新能源公牌新车附加贷，最高贷款金额：总价的</a:t>
          </a:r>
          <a:r>
            <a:rPr lang="en-US" altLang="zh-CN" sz="1100">
              <a:latin typeface="微软雅黑" panose="020B0503020204020204" pitchFamily="34" charset="-122"/>
              <a:ea typeface="微软雅黑" panose="020B0503020204020204" pitchFamily="34" charset="-122"/>
            </a:rPr>
            <a:t>75%</a:t>
          </a:r>
          <a:r>
            <a:rPr lang="zh-CN" altLang="en-US" sz="1100">
              <a:latin typeface="微软雅黑" panose="020B0503020204020204" pitchFamily="34" charset="-122"/>
              <a:ea typeface="微软雅黑" panose="020B0503020204020204" pitchFamily="34" charset="-122"/>
            </a:rPr>
            <a:t>，即</a:t>
          </a:r>
          <a:r>
            <a:rPr lang="zh-CN" altLang="zh-CN" sz="1100">
              <a:solidFill>
                <a:schemeClr val="lt1"/>
              </a:solidFill>
              <a:effectLst/>
              <a:latin typeface="微软雅黑" panose="020B0503020204020204" pitchFamily="34" charset="-122"/>
              <a:ea typeface="微软雅黑" panose="020B0503020204020204" pitchFamily="34" charset="-122"/>
              <a:cs typeface="+mn-cs"/>
            </a:rPr>
            <a:t>车辆开票价</a:t>
          </a:r>
          <a:r>
            <a:rPr lang="zh-CN" altLang="en-US" sz="1100">
              <a:latin typeface="微软雅黑" panose="020B0503020204020204" pitchFamily="34" charset="-122"/>
              <a:ea typeface="微软雅黑" panose="020B0503020204020204" pitchFamily="34" charset="-122"/>
            </a:rPr>
            <a:t>的</a:t>
          </a:r>
          <a:r>
            <a:rPr lang="en-US" altLang="zh-CN" sz="1100">
              <a:latin typeface="微软雅黑" panose="020B0503020204020204" pitchFamily="34" charset="-122"/>
              <a:ea typeface="微软雅黑" panose="020B0503020204020204" pitchFamily="34" charset="-122"/>
            </a:rPr>
            <a:t>75%+</a:t>
          </a:r>
          <a:r>
            <a:rPr lang="zh-CN" altLang="en-US" sz="1100">
              <a:latin typeface="微软雅黑" panose="020B0503020204020204" pitchFamily="34" charset="-122"/>
              <a:ea typeface="微软雅黑" panose="020B0503020204020204" pitchFamily="34" charset="-122"/>
            </a:rPr>
            <a:t>加融附加品总额的</a:t>
          </a:r>
          <a:r>
            <a:rPr lang="en-US" altLang="zh-CN" sz="1100">
              <a:latin typeface="微软雅黑" panose="020B0503020204020204" pitchFamily="34" charset="-122"/>
              <a:ea typeface="微软雅黑" panose="020B0503020204020204" pitchFamily="34" charset="-122"/>
            </a:rPr>
            <a:t>75%</a:t>
          </a:r>
          <a:r>
            <a:rPr lang="zh-CN" altLang="en-US" sz="1100">
              <a:latin typeface="微软雅黑" panose="020B0503020204020204" pitchFamily="34" charset="-122"/>
              <a:ea typeface="微软雅黑" panose="020B0503020204020204" pitchFamily="34" charset="-122"/>
            </a:rPr>
            <a:t>；</a:t>
          </a:r>
          <a:endParaRPr lang="en-US" altLang="zh-CN" sz="1100">
            <a:latin typeface="微软雅黑" panose="020B0503020204020204" pitchFamily="34" charset="-122"/>
            <a:ea typeface="微软雅黑" panose="020B0503020204020204" pitchFamily="34" charset="-122"/>
          </a:endParaRPr>
        </a:p>
        <a:p>
          <a:pPr algn="l"/>
          <a:r>
            <a:rPr lang="zh-CN" altLang="en-US" sz="1100">
              <a:latin typeface="微软雅黑" panose="020B0503020204020204" pitchFamily="34" charset="-122"/>
              <a:ea typeface="微软雅黑" panose="020B0503020204020204" pitchFamily="34" charset="-122"/>
            </a:rPr>
            <a:t>二手车，最高贷款金额：</a:t>
          </a:r>
          <a:r>
            <a:rPr lang="zh-CN" altLang="zh-CN" sz="1100">
              <a:solidFill>
                <a:schemeClr val="lt1"/>
              </a:solidFill>
              <a:effectLst/>
              <a:latin typeface="微软雅黑" panose="020B0503020204020204" pitchFamily="34" charset="-122"/>
              <a:ea typeface="微软雅黑" panose="020B0503020204020204" pitchFamily="34" charset="-122"/>
              <a:cs typeface="+mn-cs"/>
            </a:rPr>
            <a:t>总价的</a:t>
          </a:r>
          <a:r>
            <a:rPr lang="en-US" altLang="zh-CN" sz="1100">
              <a:solidFill>
                <a:schemeClr val="lt1"/>
              </a:solidFill>
              <a:effectLst/>
              <a:latin typeface="微软雅黑" panose="020B0503020204020204" pitchFamily="34" charset="-122"/>
              <a:ea typeface="微软雅黑" panose="020B0503020204020204" pitchFamily="34" charset="-122"/>
              <a:cs typeface="+mn-cs"/>
            </a:rPr>
            <a:t>70%</a:t>
          </a:r>
          <a:r>
            <a:rPr lang="zh-CN" altLang="zh-CN" sz="1100">
              <a:solidFill>
                <a:schemeClr val="lt1"/>
              </a:solidFill>
              <a:effectLst/>
              <a:latin typeface="微软雅黑" panose="020B0503020204020204" pitchFamily="34" charset="-122"/>
              <a:ea typeface="微软雅黑" panose="020B0503020204020204" pitchFamily="34" charset="-122"/>
              <a:cs typeface="+mn-cs"/>
            </a:rPr>
            <a:t>，</a:t>
          </a:r>
          <a:r>
            <a:rPr lang="zh-CN" altLang="en-US" sz="1100">
              <a:solidFill>
                <a:schemeClr val="lt1"/>
              </a:solidFill>
              <a:effectLst/>
              <a:latin typeface="微软雅黑" panose="020B0503020204020204" pitchFamily="34" charset="-122"/>
              <a:ea typeface="微软雅黑" panose="020B0503020204020204" pitchFamily="34" charset="-122"/>
              <a:cs typeface="+mn-cs"/>
            </a:rPr>
            <a:t>即</a:t>
          </a:r>
          <a:r>
            <a:rPr lang="zh-CN" altLang="zh-CN" sz="1100">
              <a:solidFill>
                <a:schemeClr val="lt1"/>
              </a:solidFill>
              <a:effectLst/>
              <a:latin typeface="微软雅黑" panose="020B0503020204020204" pitchFamily="34" charset="-122"/>
              <a:ea typeface="微软雅黑" panose="020B0503020204020204" pitchFamily="34" charset="-122"/>
              <a:cs typeface="+mn-cs"/>
            </a:rPr>
            <a:t>车辆开票价</a:t>
          </a:r>
          <a:r>
            <a:rPr lang="zh-CN" altLang="en-US" sz="1100">
              <a:solidFill>
                <a:schemeClr val="lt1"/>
              </a:solidFill>
              <a:effectLst/>
              <a:latin typeface="微软雅黑" panose="020B0503020204020204" pitchFamily="34" charset="-122"/>
              <a:ea typeface="微软雅黑" panose="020B0503020204020204" pitchFamily="34" charset="-122"/>
              <a:cs typeface="+mn-cs"/>
            </a:rPr>
            <a:t>（实际成交价）</a:t>
          </a:r>
          <a:r>
            <a:rPr lang="zh-CN" altLang="zh-CN" sz="1100">
              <a:solidFill>
                <a:schemeClr val="lt1"/>
              </a:solidFill>
              <a:effectLst/>
              <a:latin typeface="微软雅黑" panose="020B0503020204020204" pitchFamily="34" charset="-122"/>
              <a:ea typeface="微软雅黑" panose="020B0503020204020204" pitchFamily="34" charset="-122"/>
              <a:cs typeface="+mn-cs"/>
            </a:rPr>
            <a:t>的</a:t>
          </a:r>
          <a:r>
            <a:rPr lang="en-US" altLang="zh-CN" sz="1100">
              <a:solidFill>
                <a:schemeClr val="lt1"/>
              </a:solidFill>
              <a:effectLst/>
              <a:latin typeface="微软雅黑" panose="020B0503020204020204" pitchFamily="34" charset="-122"/>
              <a:ea typeface="微软雅黑" panose="020B0503020204020204" pitchFamily="34" charset="-122"/>
              <a:cs typeface="+mn-cs"/>
            </a:rPr>
            <a:t>70%+</a:t>
          </a:r>
          <a:r>
            <a:rPr lang="zh-CN" altLang="zh-CN" sz="1100">
              <a:solidFill>
                <a:schemeClr val="lt1"/>
              </a:solidFill>
              <a:effectLst/>
              <a:latin typeface="微软雅黑" panose="020B0503020204020204" pitchFamily="34" charset="-122"/>
              <a:ea typeface="微软雅黑" panose="020B0503020204020204" pitchFamily="34" charset="-122"/>
              <a:cs typeface="+mn-cs"/>
            </a:rPr>
            <a:t>加融附加品总额的</a:t>
          </a:r>
          <a:r>
            <a:rPr lang="en-US" altLang="zh-CN" sz="1100">
              <a:solidFill>
                <a:schemeClr val="lt1"/>
              </a:solidFill>
              <a:effectLst/>
              <a:latin typeface="微软雅黑" panose="020B0503020204020204" pitchFamily="34" charset="-122"/>
              <a:ea typeface="微软雅黑" panose="020B0503020204020204" pitchFamily="34" charset="-122"/>
              <a:cs typeface="+mn-cs"/>
            </a:rPr>
            <a:t>70%</a:t>
          </a:r>
          <a:r>
            <a:rPr lang="zh-CN" altLang="zh-CN" sz="1100">
              <a:solidFill>
                <a:schemeClr val="lt1"/>
              </a:solidFill>
              <a:effectLst/>
              <a:latin typeface="微软雅黑" panose="020B0503020204020204" pitchFamily="34" charset="-122"/>
              <a:ea typeface="微软雅黑" panose="020B0503020204020204" pitchFamily="34" charset="-122"/>
              <a:cs typeface="+mn-cs"/>
            </a:rPr>
            <a:t>；</a:t>
          </a:r>
          <a:r>
            <a:rPr lang="zh-CN" altLang="en-US" sz="1100">
              <a:latin typeface="微软雅黑" panose="020B0503020204020204" pitchFamily="34" charset="-122"/>
              <a:ea typeface="微软雅黑" panose="020B0503020204020204" pitchFamily="34" charset="-122"/>
            </a:rPr>
            <a: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2304;202507&#36866;&#29992;&#12305;&#21035;&#20811;_&#26376;&#20379;&#35797;&#31639;&#21442;&#32771;&#34920;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试算路径及方案简述"/>
      <sheetName val="厂贴车型明细&amp;贷款金额说明"/>
      <sheetName val="厂贴_1+4阶梯贷"/>
      <sheetName val="厂贴_常规贴息"/>
      <sheetName val="厂贴_双优贷2.0"/>
      <sheetName val="厂贴_新公牌易贷5050"/>
      <sheetName val="厂贴_员工车"/>
      <sheetName val="厂贴_双优贷1.0"/>
      <sheetName val="参数-方案配置"/>
      <sheetName val="参数-车系车型 利率"/>
      <sheetName val="双优贷2.0_非厂贴"/>
      <sheetName val="双优贷1.0_非厂贴"/>
      <sheetName val="新通用_非贴息"/>
      <sheetName val="新通用_经销商贴息"/>
      <sheetName val="非贴息_员工车"/>
      <sheetName val="参数-非厂贴方案配置"/>
      <sheetName val="新能源首付低于20%时 最高贷款金额测算"/>
      <sheetName val="产品准入政策&amp;基础参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t="str">
            <v>陆尊_PHEV</v>
          </cell>
          <cell r="P2" t="str">
            <v>陆尊_PHEV</v>
          </cell>
        </row>
        <row r="3">
          <cell r="I3" t="str">
            <v>陆尊</v>
          </cell>
          <cell r="P3" t="str">
            <v>陆尊</v>
          </cell>
        </row>
        <row r="4">
          <cell r="I4" t="str">
            <v>陆尚_PHEV</v>
          </cell>
          <cell r="P4" t="str">
            <v>陆尚_PHEV</v>
          </cell>
        </row>
        <row r="5">
          <cell r="I5" t="str">
            <v>_25款世纪</v>
          </cell>
          <cell r="P5" t="str">
            <v>全新GL8陆上公务舱</v>
          </cell>
        </row>
        <row r="6">
          <cell r="I6" t="str">
            <v>全新GL8陆上公务舱</v>
          </cell>
          <cell r="P6" t="str">
            <v>_25款世纪</v>
          </cell>
        </row>
        <row r="7">
          <cell r="P7" t="str">
            <v>微蓝6_450KM</v>
          </cell>
        </row>
        <row r="8">
          <cell r="P8" t="str">
            <v>威朗Pro</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B1:V36"/>
  <sheetViews>
    <sheetView zoomScale="60" zoomScaleNormal="60" workbookViewId="0">
      <pane ySplit="14" topLeftCell="A15" activePane="bottomLeft" state="frozen"/>
      <selection pane="bottomLeft" activeCell="B9" sqref="B9:V11"/>
    </sheetView>
  </sheetViews>
  <sheetFormatPr defaultColWidth="10.08203125" defaultRowHeight="14"/>
  <cols>
    <col min="1" max="2" width="3.75" style="213" customWidth="1"/>
    <col min="3" max="3" width="25.9140625" style="213" customWidth="1"/>
    <col min="4" max="4" width="25.25" style="213" customWidth="1"/>
    <col min="5" max="5" width="41.33203125" style="213" customWidth="1"/>
    <col min="6" max="6" width="40.6640625" style="214" customWidth="1"/>
    <col min="7" max="7" width="43.4140625" style="213" customWidth="1"/>
    <col min="8" max="8" width="25.25" style="213" customWidth="1"/>
    <col min="9" max="9" width="16.75" style="213" customWidth="1"/>
    <col min="10" max="10" width="27.75" style="213" customWidth="1"/>
    <col min="11" max="11" width="19.4140625" style="213" customWidth="1"/>
    <col min="12" max="12" width="32.08203125" style="213" customWidth="1"/>
    <col min="13" max="13" width="35" style="213" customWidth="1"/>
    <col min="14" max="14" width="22.4140625" style="213" customWidth="1"/>
    <col min="15" max="15" width="17.4140625" style="213" customWidth="1"/>
    <col min="16" max="17" width="11.9140625" style="213" customWidth="1"/>
    <col min="18" max="18" width="15.9140625" style="213" customWidth="1"/>
    <col min="19" max="19" width="11.9140625" style="213" customWidth="1"/>
    <col min="20" max="16384" width="10.08203125" style="213"/>
  </cols>
  <sheetData>
    <row r="1" spans="2:22" ht="10" customHeight="1"/>
    <row r="2" spans="2:22" ht="6.5" customHeight="1"/>
    <row r="9" spans="2:22" ht="14" customHeight="1">
      <c r="B9" s="490" t="s">
        <v>230</v>
      </c>
      <c r="C9" s="491"/>
      <c r="D9" s="491"/>
      <c r="E9" s="491"/>
      <c r="F9" s="491"/>
      <c r="G9" s="491"/>
      <c r="H9" s="491"/>
      <c r="I9" s="491"/>
      <c r="J9" s="491"/>
      <c r="K9" s="491"/>
      <c r="L9" s="491"/>
      <c r="M9" s="491"/>
      <c r="N9" s="491"/>
      <c r="O9" s="491"/>
      <c r="P9" s="491"/>
      <c r="Q9" s="491"/>
      <c r="R9" s="491"/>
      <c r="S9" s="491"/>
      <c r="T9" s="491"/>
      <c r="U9" s="491"/>
      <c r="V9" s="491"/>
    </row>
    <row r="10" spans="2:22">
      <c r="B10" s="491"/>
      <c r="C10" s="491"/>
      <c r="D10" s="491"/>
      <c r="E10" s="491"/>
      <c r="F10" s="491"/>
      <c r="G10" s="491"/>
      <c r="H10" s="491"/>
      <c r="I10" s="491"/>
      <c r="J10" s="491"/>
      <c r="K10" s="491"/>
      <c r="L10" s="491"/>
      <c r="M10" s="491"/>
      <c r="N10" s="491"/>
      <c r="O10" s="491"/>
      <c r="P10" s="491"/>
      <c r="Q10" s="491"/>
      <c r="R10" s="491"/>
      <c r="S10" s="491"/>
      <c r="T10" s="491"/>
      <c r="U10" s="491"/>
      <c r="V10" s="491"/>
    </row>
    <row r="11" spans="2:22" ht="13.5" customHeight="1">
      <c r="B11" s="491"/>
      <c r="C11" s="491"/>
      <c r="D11" s="491"/>
      <c r="E11" s="491"/>
      <c r="F11" s="491"/>
      <c r="G11" s="491"/>
      <c r="H11" s="491"/>
      <c r="I11" s="491"/>
      <c r="J11" s="491"/>
      <c r="K11" s="491"/>
      <c r="L11" s="491"/>
      <c r="M11" s="491"/>
      <c r="N11" s="491"/>
      <c r="O11" s="491"/>
      <c r="P11" s="491"/>
      <c r="Q11" s="491"/>
      <c r="R11" s="491"/>
      <c r="S11" s="491"/>
      <c r="T11" s="491"/>
      <c r="U11" s="491"/>
      <c r="V11" s="491"/>
    </row>
    <row r="12" spans="2:22" ht="13.5" customHeight="1">
      <c r="B12" s="215"/>
      <c r="C12" s="215"/>
      <c r="D12" s="215"/>
      <c r="E12" s="215"/>
      <c r="F12" s="216"/>
      <c r="G12" s="215"/>
      <c r="H12" s="215"/>
      <c r="I12" s="215"/>
      <c r="J12" s="215"/>
      <c r="K12" s="215"/>
      <c r="L12" s="215"/>
      <c r="M12" s="215"/>
      <c r="N12" s="215"/>
      <c r="O12" s="215"/>
      <c r="P12" s="215"/>
      <c r="Q12" s="215"/>
      <c r="R12" s="215"/>
      <c r="S12" s="215"/>
      <c r="T12" s="215"/>
      <c r="U12" s="215"/>
      <c r="V12" s="215"/>
    </row>
    <row r="13" spans="2:22" ht="21.5" customHeight="1">
      <c r="B13" s="215"/>
      <c r="C13" s="489" t="s">
        <v>231</v>
      </c>
      <c r="D13" s="489"/>
      <c r="E13" s="489"/>
      <c r="F13" s="489"/>
      <c r="G13" s="489"/>
      <c r="H13" s="489"/>
      <c r="I13" s="215"/>
      <c r="J13" s="492" t="s">
        <v>232</v>
      </c>
      <c r="K13" s="492"/>
      <c r="L13" s="492"/>
      <c r="M13" s="492"/>
      <c r="N13" s="492"/>
      <c r="O13" s="215"/>
      <c r="P13" s="215"/>
      <c r="Q13" s="215"/>
      <c r="R13" s="215"/>
      <c r="S13" s="215"/>
      <c r="T13" s="215"/>
      <c r="U13" s="215"/>
    </row>
    <row r="14" spans="2:22" s="220" customFormat="1" ht="57.5" customHeight="1">
      <c r="B14" s="217"/>
      <c r="C14" s="218" t="s">
        <v>233</v>
      </c>
      <c r="D14" s="493" t="s">
        <v>234</v>
      </c>
      <c r="E14" s="494"/>
      <c r="F14" s="218" t="s">
        <v>235</v>
      </c>
      <c r="G14" s="219" t="s">
        <v>236</v>
      </c>
      <c r="H14" s="384" t="s">
        <v>399</v>
      </c>
      <c r="I14" s="217"/>
      <c r="J14" s="367" t="s">
        <v>237</v>
      </c>
      <c r="K14" s="367" t="s">
        <v>238</v>
      </c>
      <c r="L14" s="368" t="s">
        <v>239</v>
      </c>
      <c r="M14" s="369" t="s">
        <v>240</v>
      </c>
      <c r="N14" s="370" t="s">
        <v>241</v>
      </c>
      <c r="O14" s="217"/>
      <c r="P14" s="217"/>
      <c r="Q14" s="217"/>
      <c r="R14" s="217"/>
      <c r="S14" s="217"/>
      <c r="T14" s="217"/>
      <c r="U14" s="217"/>
      <c r="V14" s="217"/>
    </row>
    <row r="15" spans="2:22" ht="48.5" customHeight="1">
      <c r="C15" s="479" t="s">
        <v>476</v>
      </c>
      <c r="D15" s="495" t="s">
        <v>422</v>
      </c>
      <c r="E15" s="472" t="s">
        <v>255</v>
      </c>
      <c r="F15" s="496" t="s">
        <v>467</v>
      </c>
      <c r="G15" s="449" t="s">
        <v>334</v>
      </c>
      <c r="H15" s="484" t="s">
        <v>463</v>
      </c>
      <c r="J15" s="486" t="s">
        <v>476</v>
      </c>
      <c r="K15" s="476" t="s">
        <v>460</v>
      </c>
      <c r="L15" s="221" t="s">
        <v>242</v>
      </c>
      <c r="M15" s="371" t="s">
        <v>243</v>
      </c>
      <c r="N15" s="466">
        <v>8.9800000000000005E-2</v>
      </c>
    </row>
    <row r="16" spans="2:22" ht="48.5" customHeight="1">
      <c r="C16" s="480"/>
      <c r="D16" s="495"/>
      <c r="E16" s="473"/>
      <c r="F16" s="497"/>
      <c r="G16" s="223"/>
      <c r="H16" s="485"/>
      <c r="J16" s="487"/>
      <c r="K16" s="478"/>
      <c r="L16" s="221" t="s">
        <v>244</v>
      </c>
      <c r="M16" s="371" t="s">
        <v>245</v>
      </c>
      <c r="N16" s="467"/>
    </row>
    <row r="17" spans="3:15" ht="48.5" customHeight="1">
      <c r="C17" s="480"/>
      <c r="D17" s="495"/>
      <c r="E17" s="473"/>
      <c r="F17" s="498"/>
      <c r="G17" s="448" t="s">
        <v>246</v>
      </c>
      <c r="H17" s="485"/>
      <c r="J17" s="487"/>
      <c r="K17" s="478"/>
      <c r="L17" s="221" t="s">
        <v>384</v>
      </c>
      <c r="M17" s="371" t="s">
        <v>243</v>
      </c>
      <c r="N17" s="466">
        <v>9.7000000000000003E-2</v>
      </c>
      <c r="O17" s="222"/>
    </row>
    <row r="18" spans="3:15" ht="61.5" customHeight="1">
      <c r="C18" s="480"/>
      <c r="D18" s="470" t="s">
        <v>457</v>
      </c>
      <c r="E18" s="473"/>
      <c r="F18" s="468" t="s">
        <v>446</v>
      </c>
      <c r="G18" s="443" t="s">
        <v>462</v>
      </c>
      <c r="H18" s="475" t="s">
        <v>447</v>
      </c>
      <c r="J18" s="487"/>
      <c r="K18" s="477"/>
      <c r="L18" s="221" t="s">
        <v>385</v>
      </c>
      <c r="M18" s="371" t="s">
        <v>245</v>
      </c>
      <c r="N18" s="499"/>
      <c r="O18" s="222"/>
    </row>
    <row r="19" spans="3:15" ht="61.5" customHeight="1">
      <c r="C19" s="480"/>
      <c r="D19" s="471"/>
      <c r="E19" s="474"/>
      <c r="F19" s="469"/>
      <c r="G19" s="385" t="s">
        <v>246</v>
      </c>
      <c r="H19" s="475"/>
      <c r="J19" s="487"/>
      <c r="K19" s="476" t="s">
        <v>396</v>
      </c>
      <c r="L19" s="221" t="s">
        <v>386</v>
      </c>
      <c r="M19" s="372" t="s">
        <v>243</v>
      </c>
      <c r="N19" s="482">
        <v>0.11600000000000001</v>
      </c>
    </row>
    <row r="20" spans="3:15" ht="52.5" customHeight="1">
      <c r="C20" s="481"/>
      <c r="D20" s="258" t="s">
        <v>16</v>
      </c>
      <c r="E20" s="259" t="s">
        <v>256</v>
      </c>
      <c r="F20" s="224" t="s">
        <v>418</v>
      </c>
      <c r="G20" s="385" t="s">
        <v>326</v>
      </c>
      <c r="H20" s="386" t="s">
        <v>417</v>
      </c>
      <c r="J20" s="488"/>
      <c r="K20" s="477"/>
      <c r="L20" s="221" t="s">
        <v>387</v>
      </c>
      <c r="M20" s="372" t="s">
        <v>245</v>
      </c>
      <c r="N20" s="483"/>
    </row>
    <row r="21" spans="3:15" ht="28" customHeight="1">
      <c r="G21" s="214"/>
      <c r="H21" s="214"/>
    </row>
    <row r="22" spans="3:15" ht="29.5" customHeight="1"/>
    <row r="23" spans="3:15" ht="27" customHeight="1">
      <c r="C23" s="461" t="s">
        <v>247</v>
      </c>
      <c r="D23" s="464" t="s">
        <v>248</v>
      </c>
      <c r="E23" s="465"/>
    </row>
    <row r="24" spans="3:15" ht="26" customHeight="1">
      <c r="C24" s="462"/>
      <c r="D24" s="464" t="s">
        <v>249</v>
      </c>
      <c r="E24" s="465"/>
    </row>
    <row r="25" spans="3:15" ht="26" customHeight="1">
      <c r="C25" s="463"/>
      <c r="D25" s="464" t="s">
        <v>250</v>
      </c>
      <c r="E25" s="465"/>
    </row>
    <row r="26" spans="3:15" ht="26" customHeight="1"/>
    <row r="27" spans="3:15" ht="26" customHeight="1"/>
    <row r="28" spans="3:15" ht="31" customHeight="1">
      <c r="F28" s="213"/>
    </row>
    <row r="33" spans="6:6">
      <c r="F33" s="213"/>
    </row>
    <row r="34" spans="6:6">
      <c r="F34" s="213"/>
    </row>
    <row r="35" spans="6:6">
      <c r="F35" s="213"/>
    </row>
    <row r="36" spans="6:6" ht="14" customHeight="1"/>
  </sheetData>
  <sheetProtection algorithmName="SHA-512" hashValue="X3lfPo3nuDnZY5EHlFUFwv7D4q86Yl0r14Jj2IxTakXFQRhMSdqYIaslm4OSi01CTEoUZGnYXRF5Hgn4m/W11Q==" saltValue="ZeAPmuBJhtwbJJee9G6Gdw==" spinCount="100000" sheet="1" objects="1" scenarios="1"/>
  <mergeCells count="22">
    <mergeCell ref="C13:H13"/>
    <mergeCell ref="B9:V11"/>
    <mergeCell ref="J13:N13"/>
    <mergeCell ref="D14:E14"/>
    <mergeCell ref="D15:D17"/>
    <mergeCell ref="F15:F17"/>
    <mergeCell ref="N17:N18"/>
    <mergeCell ref="C23:C25"/>
    <mergeCell ref="D23:E23"/>
    <mergeCell ref="D24:E24"/>
    <mergeCell ref="D25:E25"/>
    <mergeCell ref="N15:N16"/>
    <mergeCell ref="F18:F19"/>
    <mergeCell ref="D18:D19"/>
    <mergeCell ref="E15:E19"/>
    <mergeCell ref="H18:H19"/>
    <mergeCell ref="K19:K20"/>
    <mergeCell ref="K15:K18"/>
    <mergeCell ref="C15:C20"/>
    <mergeCell ref="N19:N20"/>
    <mergeCell ref="H15:H17"/>
    <mergeCell ref="J15:J20"/>
  </mergeCells>
  <phoneticPr fontId="3" type="noConversion"/>
  <hyperlinks>
    <hyperlink ref="D23" location="'厂贴车型明细&amp;贷款金额说明'!A1" display="厂贴车型明细&amp;贷款金额说明" xr:uid="{00000000-0004-0000-0000-000000000000}"/>
    <hyperlink ref="D24" location="'产品准入政策&amp;基础参数'!A1" display="产品基础参数&amp;准入政策" xr:uid="{00000000-0004-0000-0000-000001000000}"/>
    <hyperlink ref="D25" location="'产品准入政策&amp;基础参数'!A1" display="产品基础参数&amp;准入政策" xr:uid="{00000000-0004-0000-0000-000002000000}"/>
    <hyperlink ref="D25:E25" location="'新能源首付低于20%时 最高贷款金额测算'!A1" display="新能源首付低于20%时 最高贷款金额测算" xr:uid="{00000000-0004-0000-0000-000004000000}"/>
    <hyperlink ref="G17" location="厂贴_双优贷2.0!A1" display="厂贴_双优贷2.0" xr:uid="{00000000-0004-0000-0000-000005000000}"/>
    <hyperlink ref="G20" location="'厂贴_常规贴息（新能源）'!A1" display="厂贴_常规贴息（新能源）" xr:uid="{00000000-0004-0000-0000-000006000000}"/>
    <hyperlink ref="G15" location="'厂贴_常规贴息（燃油车）'!A1" display="厂贴_常规贴息(燃油车）" xr:uid="{00000000-0004-0000-0000-000008000000}"/>
    <hyperlink ref="L20" location="双优贷2.0_非厂贴!A1" display="双优贷2.0-经销商贴息" xr:uid="{00000000-0004-0000-0000-000009000000}"/>
    <hyperlink ref="L19" location="双优贷2.0_非厂贴!A1" display="双优贷2.0-非厂商贴息" xr:uid="{00000000-0004-0000-0000-00000A000000}"/>
    <hyperlink ref="L16" location="新通用_经销商贴息!A1" display="新通用-经销商贴息" xr:uid="{00000000-0004-0000-0000-00000B000000}"/>
    <hyperlink ref="L15" location="新通用_非贴息!A1" display="新通用-非厂商贴息" xr:uid="{00000000-0004-0000-0000-00000C000000}"/>
    <hyperlink ref="L18" location="双优贷1.0_非厂贴!A1" display="双优贷-经销商贴息" xr:uid="{00000000-0004-0000-0000-00000D000000}"/>
    <hyperlink ref="L17" location="双优贷1.0_非厂贴!A1" display="双优贷-非厂商贴息" xr:uid="{00000000-0004-0000-0000-00000E000000}"/>
    <hyperlink ref="G18" location="'厂贴_常规贴息（新CT6）'!A1" display="厂贴_常规贴息(新CT6）" xr:uid="{66867C0B-3568-45A8-9D71-22B041B886BF}"/>
    <hyperlink ref="G19" location="厂贴_双优贷2.0!A1" display="厂贴_双优贷2.0" xr:uid="{5B69D246-C80D-4E4E-8A20-684CA749F66F}"/>
  </hyperlinks>
  <pageMargins left="0.7" right="0.7" top="0.75" bottom="0.75" header="0.3" footer="0.3"/>
  <pageSetup orientation="portrait" horizontalDpi="300" verticalDpi="0" copies="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U52"/>
  <sheetViews>
    <sheetView showGridLines="0" tabSelected="1" zoomScale="85" zoomScaleNormal="85" workbookViewId="0">
      <pane ySplit="9" topLeftCell="A28" activePane="bottomLeft" state="frozen"/>
      <selection pane="bottomLeft" activeCell="H36" sqref="H36"/>
    </sheetView>
  </sheetViews>
  <sheetFormatPr defaultRowHeight="14"/>
  <cols>
    <col min="1" max="1" width="2.4140625" customWidth="1"/>
    <col min="2" max="2" width="11.83203125" customWidth="1"/>
    <col min="3" max="3" width="18.33203125" customWidth="1"/>
    <col min="4" max="4" width="36.5" customWidth="1"/>
    <col min="5" max="5" width="40.25" customWidth="1"/>
    <col min="6" max="6" width="11.75" bestFit="1" customWidth="1"/>
    <col min="7" max="7" width="8.75" customWidth="1"/>
    <col min="8" max="8" width="11.4140625" customWidth="1"/>
    <col min="9" max="12" width="11" customWidth="1"/>
    <col min="13" max="13" width="11" hidden="1" customWidth="1"/>
    <col min="14" max="20" width="11" customWidth="1"/>
  </cols>
  <sheetData>
    <row r="1" spans="2:21" ht="22.5">
      <c r="C1" s="56" t="s">
        <v>68</v>
      </c>
    </row>
    <row r="2" spans="2:21" ht="17.399999999999999" customHeight="1">
      <c r="B2" s="509" t="s">
        <v>363</v>
      </c>
      <c r="C2" s="509"/>
      <c r="D2" s="509"/>
      <c r="E2" s="509"/>
      <c r="F2" s="509"/>
      <c r="G2" s="509"/>
      <c r="H2" s="509"/>
      <c r="I2" s="509"/>
    </row>
    <row r="3" spans="2:21" ht="17.399999999999999" customHeight="1">
      <c r="B3" s="509"/>
      <c r="C3" s="509"/>
      <c r="D3" s="509"/>
      <c r="E3" s="509"/>
      <c r="F3" s="509"/>
      <c r="G3" s="509"/>
      <c r="H3" s="509"/>
      <c r="I3" s="509"/>
    </row>
    <row r="4" spans="2:21" ht="17.399999999999999" customHeight="1">
      <c r="B4" s="509"/>
      <c r="C4" s="509"/>
      <c r="D4" s="509"/>
      <c r="E4" s="509"/>
      <c r="F4" s="509"/>
      <c r="G4" s="509"/>
      <c r="H4" s="509"/>
      <c r="I4" s="509"/>
    </row>
    <row r="5" spans="2:21" ht="17.399999999999999" customHeight="1">
      <c r="B5" s="509"/>
      <c r="C5" s="509"/>
      <c r="D5" s="509"/>
      <c r="E5" s="509"/>
      <c r="F5" s="509"/>
      <c r="G5" s="509"/>
      <c r="H5" s="509"/>
      <c r="I5" s="509"/>
    </row>
    <row r="6" spans="2:21" ht="17.399999999999999" customHeight="1">
      <c r="B6" s="509"/>
      <c r="C6" s="509"/>
      <c r="D6" s="509"/>
      <c r="E6" s="509"/>
      <c r="F6" s="509"/>
      <c r="G6" s="509"/>
      <c r="H6" s="509"/>
      <c r="I6" s="509"/>
    </row>
    <row r="7" spans="2:21" s="59" customFormat="1" ht="14" customHeight="1">
      <c r="B7" s="60"/>
      <c r="C7" s="60"/>
      <c r="D7" s="60"/>
      <c r="E7" s="60"/>
      <c r="F7" s="60"/>
      <c r="G7" s="60"/>
      <c r="H7" s="60"/>
      <c r="I7" s="60"/>
    </row>
    <row r="8" spans="2:21" ht="32" customHeight="1">
      <c r="H8" s="61"/>
      <c r="I8" s="514" t="s">
        <v>390</v>
      </c>
      <c r="J8" s="514"/>
      <c r="K8" s="514"/>
      <c r="L8" s="514"/>
      <c r="M8" s="514"/>
      <c r="N8" s="514" t="s">
        <v>391</v>
      </c>
      <c r="O8" s="514"/>
      <c r="P8" s="515" t="s">
        <v>392</v>
      </c>
      <c r="Q8" s="516"/>
      <c r="R8" s="327" t="s">
        <v>393</v>
      </c>
      <c r="S8" s="378" t="s">
        <v>394</v>
      </c>
      <c r="T8" s="377" t="s">
        <v>395</v>
      </c>
      <c r="U8" s="62"/>
    </row>
    <row r="9" spans="2:21" ht="36" customHeight="1">
      <c r="B9" s="267"/>
      <c r="C9" s="262" t="s">
        <v>320</v>
      </c>
      <c r="D9" s="263" t="s">
        <v>321</v>
      </c>
      <c r="E9" s="57" t="s">
        <v>322</v>
      </c>
      <c r="F9" s="58" t="s">
        <v>69</v>
      </c>
      <c r="H9" s="63" t="s">
        <v>90</v>
      </c>
      <c r="I9" s="64" t="s">
        <v>95</v>
      </c>
      <c r="J9" s="64" t="s">
        <v>94</v>
      </c>
      <c r="K9" s="64" t="s">
        <v>93</v>
      </c>
      <c r="L9" s="64" t="s">
        <v>92</v>
      </c>
      <c r="M9" s="64" t="s">
        <v>91</v>
      </c>
      <c r="N9" s="64" t="s">
        <v>92</v>
      </c>
      <c r="O9" s="64" t="s">
        <v>91</v>
      </c>
      <c r="P9" s="64" t="s">
        <v>96</v>
      </c>
      <c r="Q9" s="64" t="s">
        <v>459</v>
      </c>
      <c r="R9" s="64" t="s">
        <v>91</v>
      </c>
      <c r="S9" s="64" t="s">
        <v>93</v>
      </c>
      <c r="T9" s="64" t="s">
        <v>95</v>
      </c>
      <c r="U9" s="62"/>
    </row>
    <row r="10" spans="2:21">
      <c r="B10" s="500" t="s">
        <v>291</v>
      </c>
      <c r="C10" s="264" t="s">
        <v>292</v>
      </c>
      <c r="D10" s="266" t="s">
        <v>293</v>
      </c>
      <c r="E10" s="277" t="s">
        <v>294</v>
      </c>
      <c r="F10" s="277">
        <v>289900</v>
      </c>
      <c r="H10" s="4" t="s">
        <v>89</v>
      </c>
      <c r="I10" s="502">
        <v>30000</v>
      </c>
      <c r="J10" s="502">
        <v>30000</v>
      </c>
      <c r="K10" s="502">
        <v>30000</v>
      </c>
      <c r="L10" s="502">
        <v>30000</v>
      </c>
      <c r="M10" s="502">
        <v>30000</v>
      </c>
      <c r="N10" s="502">
        <v>30000</v>
      </c>
      <c r="O10" s="502">
        <v>150000</v>
      </c>
      <c r="P10" s="511">
        <v>120000</v>
      </c>
      <c r="Q10" s="511">
        <v>80000</v>
      </c>
      <c r="R10" s="502">
        <v>30000</v>
      </c>
      <c r="S10" s="502">
        <v>30000</v>
      </c>
      <c r="T10" s="502">
        <v>50000</v>
      </c>
    </row>
    <row r="11" spans="2:21">
      <c r="B11" s="505"/>
      <c r="C11" s="264" t="s">
        <v>292</v>
      </c>
      <c r="D11" s="265" t="s">
        <v>295</v>
      </c>
      <c r="E11" s="277" t="s">
        <v>296</v>
      </c>
      <c r="F11" s="277">
        <v>299900</v>
      </c>
      <c r="H11" s="4" t="s">
        <v>97</v>
      </c>
      <c r="I11" s="503"/>
      <c r="J11" s="503"/>
      <c r="K11" s="503"/>
      <c r="L11" s="503"/>
      <c r="M11" s="503"/>
      <c r="N11" s="503"/>
      <c r="O11" s="503"/>
      <c r="P11" s="512"/>
      <c r="Q11" s="512"/>
      <c r="R11" s="503"/>
      <c r="S11" s="503"/>
      <c r="T11" s="503"/>
    </row>
    <row r="12" spans="2:21">
      <c r="B12" s="505"/>
      <c r="C12" s="264"/>
      <c r="D12" s="265"/>
      <c r="E12" s="277" t="s">
        <v>472</v>
      </c>
      <c r="F12" s="277">
        <v>320700</v>
      </c>
      <c r="H12" s="4" t="s">
        <v>98</v>
      </c>
      <c r="I12" s="503"/>
      <c r="J12" s="503"/>
      <c r="K12" s="503"/>
      <c r="L12" s="503"/>
      <c r="M12" s="503"/>
      <c r="N12" s="503"/>
      <c r="O12" s="503"/>
      <c r="P12" s="512"/>
      <c r="Q12" s="512"/>
      <c r="R12" s="503"/>
      <c r="S12" s="503"/>
      <c r="T12" s="503"/>
    </row>
    <row r="13" spans="2:21">
      <c r="B13" s="505"/>
      <c r="C13" s="264" t="s">
        <v>292</v>
      </c>
      <c r="D13" s="265" t="s">
        <v>297</v>
      </c>
      <c r="E13" s="277" t="s">
        <v>298</v>
      </c>
      <c r="F13" s="277">
        <v>320900</v>
      </c>
      <c r="H13" s="4" t="s">
        <v>330</v>
      </c>
      <c r="I13" s="503"/>
      <c r="J13" s="503"/>
      <c r="K13" s="503"/>
      <c r="L13" s="503"/>
      <c r="M13" s="503"/>
      <c r="N13" s="503"/>
      <c r="O13" s="503"/>
      <c r="P13" s="512"/>
      <c r="Q13" s="512"/>
      <c r="R13" s="503"/>
      <c r="S13" s="503"/>
      <c r="T13" s="503"/>
    </row>
    <row r="14" spans="2:21">
      <c r="B14" s="501"/>
      <c r="C14" s="264" t="s">
        <v>292</v>
      </c>
      <c r="D14" s="265" t="s">
        <v>299</v>
      </c>
      <c r="E14" s="277" t="s">
        <v>300</v>
      </c>
      <c r="F14" s="277">
        <v>345900</v>
      </c>
      <c r="H14" s="4" t="s">
        <v>331</v>
      </c>
      <c r="I14" s="503"/>
      <c r="J14" s="503"/>
      <c r="K14" s="503"/>
      <c r="L14" s="503"/>
      <c r="M14" s="503"/>
      <c r="N14" s="503"/>
      <c r="O14" s="503"/>
      <c r="P14" s="512"/>
      <c r="Q14" s="512"/>
      <c r="R14" s="503"/>
      <c r="S14" s="503"/>
      <c r="T14" s="503"/>
    </row>
    <row r="15" spans="2:21">
      <c r="B15" s="500" t="s">
        <v>301</v>
      </c>
      <c r="C15" s="264" t="s">
        <v>302</v>
      </c>
      <c r="D15" s="265"/>
      <c r="E15" s="277" t="s">
        <v>409</v>
      </c>
      <c r="F15" s="277">
        <v>379900</v>
      </c>
      <c r="H15" s="4" t="s">
        <v>332</v>
      </c>
      <c r="I15" s="503"/>
      <c r="J15" s="503"/>
      <c r="K15" s="503"/>
      <c r="L15" s="503"/>
      <c r="M15" s="503"/>
      <c r="N15" s="503"/>
      <c r="O15" s="503"/>
      <c r="P15" s="512"/>
      <c r="Q15" s="512"/>
      <c r="R15" s="503"/>
      <c r="S15" s="503"/>
      <c r="T15" s="503"/>
    </row>
    <row r="16" spans="2:21">
      <c r="B16" s="505"/>
      <c r="C16" s="264" t="s">
        <v>302</v>
      </c>
      <c r="D16" s="265" t="s">
        <v>271</v>
      </c>
      <c r="E16" s="277" t="s">
        <v>364</v>
      </c>
      <c r="F16" s="277">
        <v>399900</v>
      </c>
      <c r="H16" s="4" t="s">
        <v>333</v>
      </c>
      <c r="I16" s="504"/>
      <c r="J16" s="504"/>
      <c r="K16" s="504"/>
      <c r="L16" s="504"/>
      <c r="M16" s="504"/>
      <c r="N16" s="504"/>
      <c r="O16" s="504"/>
      <c r="P16" s="513"/>
      <c r="Q16" s="513"/>
      <c r="R16" s="504"/>
      <c r="S16" s="504"/>
      <c r="T16" s="504"/>
    </row>
    <row r="17" spans="2:20">
      <c r="B17" s="505"/>
      <c r="C17" s="264" t="s">
        <v>302</v>
      </c>
      <c r="D17" s="265" t="s">
        <v>275</v>
      </c>
      <c r="E17" s="277" t="s">
        <v>365</v>
      </c>
      <c r="F17" s="277">
        <v>419900</v>
      </c>
      <c r="H17" s="425" t="s">
        <v>457</v>
      </c>
      <c r="I17" s="422">
        <v>30000</v>
      </c>
      <c r="J17" s="422">
        <v>30000</v>
      </c>
      <c r="K17" s="422">
        <v>30000</v>
      </c>
      <c r="L17" s="422">
        <v>30000</v>
      </c>
      <c r="M17" s="428"/>
      <c r="N17" s="422">
        <v>30000</v>
      </c>
      <c r="O17" s="428">
        <v>150000</v>
      </c>
      <c r="P17" s="423" t="s">
        <v>99</v>
      </c>
      <c r="Q17" s="427">
        <v>100000</v>
      </c>
      <c r="R17" s="422">
        <v>30000</v>
      </c>
      <c r="S17" s="422">
        <v>30000</v>
      </c>
      <c r="T17" s="428">
        <v>50000</v>
      </c>
    </row>
    <row r="18" spans="2:20">
      <c r="B18" s="501"/>
      <c r="C18" s="264" t="s">
        <v>302</v>
      </c>
      <c r="D18" s="265" t="s">
        <v>279</v>
      </c>
      <c r="E18" s="277" t="s">
        <v>366</v>
      </c>
      <c r="F18" s="277">
        <v>459900</v>
      </c>
      <c r="H18" s="6" t="s">
        <v>16</v>
      </c>
      <c r="I18" s="422">
        <v>30000</v>
      </c>
      <c r="J18" s="422">
        <v>30000</v>
      </c>
      <c r="K18" s="422">
        <v>30000</v>
      </c>
      <c r="L18" s="422">
        <v>30000</v>
      </c>
      <c r="M18" s="422">
        <v>30000</v>
      </c>
      <c r="N18" s="423" t="s">
        <v>99</v>
      </c>
      <c r="O18" s="423" t="s">
        <v>99</v>
      </c>
      <c r="P18" s="423" t="s">
        <v>99</v>
      </c>
      <c r="Q18" s="423" t="s">
        <v>99</v>
      </c>
      <c r="R18" s="422">
        <v>30000</v>
      </c>
      <c r="S18" s="423" t="s">
        <v>99</v>
      </c>
      <c r="T18" s="423" t="s">
        <v>99</v>
      </c>
    </row>
    <row r="19" spans="2:20">
      <c r="B19" s="500" t="s">
        <v>303</v>
      </c>
      <c r="C19" s="264" t="s">
        <v>304</v>
      </c>
      <c r="D19" s="265" t="s">
        <v>305</v>
      </c>
      <c r="E19" s="277" t="s">
        <v>80</v>
      </c>
      <c r="F19" s="277">
        <v>449900</v>
      </c>
    </row>
    <row r="20" spans="2:20">
      <c r="B20" s="505"/>
      <c r="C20" s="264" t="s">
        <v>304</v>
      </c>
      <c r="D20" s="265" t="s">
        <v>306</v>
      </c>
      <c r="E20" s="277" t="s">
        <v>81</v>
      </c>
      <c r="F20" s="277">
        <v>469900</v>
      </c>
    </row>
    <row r="21" spans="2:20">
      <c r="B21" s="501"/>
      <c r="C21" s="264" t="s">
        <v>304</v>
      </c>
      <c r="D21" s="265" t="s">
        <v>307</v>
      </c>
      <c r="E21" s="277" t="s">
        <v>82</v>
      </c>
      <c r="F21" s="277">
        <v>509900</v>
      </c>
    </row>
    <row r="22" spans="2:20">
      <c r="B22" s="506" t="s">
        <v>454</v>
      </c>
      <c r="C22" s="264" t="s">
        <v>442</v>
      </c>
      <c r="D22" s="265" t="s">
        <v>443</v>
      </c>
      <c r="E22" s="277" t="s">
        <v>449</v>
      </c>
      <c r="F22" s="277">
        <v>369900</v>
      </c>
    </row>
    <row r="23" spans="2:20">
      <c r="B23" s="507"/>
      <c r="C23" s="264" t="s">
        <v>442</v>
      </c>
      <c r="D23" s="265" t="s">
        <v>444</v>
      </c>
      <c r="E23" s="277" t="s">
        <v>451</v>
      </c>
      <c r="F23" s="277">
        <v>399900</v>
      </c>
    </row>
    <row r="24" spans="2:20">
      <c r="B24" s="508"/>
      <c r="C24" s="264" t="s">
        <v>442</v>
      </c>
      <c r="D24" s="265" t="s">
        <v>445</v>
      </c>
      <c r="E24" s="277" t="s">
        <v>453</v>
      </c>
      <c r="F24" s="277">
        <v>429900</v>
      </c>
    </row>
    <row r="25" spans="2:20">
      <c r="B25" s="510" t="s">
        <v>267</v>
      </c>
      <c r="C25" s="264" t="s">
        <v>268</v>
      </c>
      <c r="D25" s="265" t="s">
        <v>269</v>
      </c>
      <c r="E25" s="277" t="s">
        <v>270</v>
      </c>
      <c r="F25" s="277">
        <v>359700</v>
      </c>
    </row>
    <row r="26" spans="2:20">
      <c r="B26" s="510"/>
      <c r="C26" s="264" t="s">
        <v>268</v>
      </c>
      <c r="D26" s="265" t="s">
        <v>271</v>
      </c>
      <c r="E26" s="277" t="s">
        <v>272</v>
      </c>
      <c r="F26" s="277">
        <v>389700</v>
      </c>
    </row>
    <row r="27" spans="2:20">
      <c r="B27" s="510"/>
      <c r="C27" s="264" t="s">
        <v>268</v>
      </c>
      <c r="D27" s="265" t="s">
        <v>273</v>
      </c>
      <c r="E27" s="277" t="s">
        <v>274</v>
      </c>
      <c r="F27" s="277">
        <v>409700</v>
      </c>
    </row>
    <row r="28" spans="2:20">
      <c r="B28" s="510"/>
      <c r="C28" s="264" t="s">
        <v>268</v>
      </c>
      <c r="D28" s="265" t="s">
        <v>275</v>
      </c>
      <c r="E28" s="277" t="s">
        <v>276</v>
      </c>
      <c r="F28" s="277">
        <v>409700</v>
      </c>
    </row>
    <row r="29" spans="2:20">
      <c r="B29" s="510"/>
      <c r="C29" s="264" t="s">
        <v>268</v>
      </c>
      <c r="D29" s="265" t="s">
        <v>277</v>
      </c>
      <c r="E29" s="277" t="s">
        <v>278</v>
      </c>
      <c r="F29" s="277">
        <v>429700</v>
      </c>
    </row>
    <row r="30" spans="2:20">
      <c r="B30" s="510"/>
      <c r="C30" s="264" t="s">
        <v>268</v>
      </c>
      <c r="D30" s="265" t="s">
        <v>279</v>
      </c>
      <c r="E30" s="277" t="s">
        <v>280</v>
      </c>
      <c r="F30" s="277">
        <v>469700</v>
      </c>
    </row>
    <row r="31" spans="2:20">
      <c r="B31" s="510"/>
      <c r="C31" s="264" t="s">
        <v>268</v>
      </c>
      <c r="D31" s="265" t="s">
        <v>281</v>
      </c>
      <c r="E31" s="277" t="s">
        <v>282</v>
      </c>
      <c r="F31" s="277">
        <v>489700</v>
      </c>
    </row>
    <row r="32" spans="2:20">
      <c r="B32" s="510" t="s">
        <v>257</v>
      </c>
      <c r="C32" s="264" t="s">
        <v>258</v>
      </c>
      <c r="D32" s="265" t="s">
        <v>259</v>
      </c>
      <c r="E32" s="277" t="s">
        <v>432</v>
      </c>
      <c r="F32" s="277">
        <v>223700</v>
      </c>
    </row>
    <row r="33" spans="2:6">
      <c r="B33" s="510"/>
      <c r="C33" s="264" t="s">
        <v>258</v>
      </c>
      <c r="D33" s="265" t="s">
        <v>260</v>
      </c>
      <c r="E33" s="277" t="s">
        <v>71</v>
      </c>
      <c r="F33" s="277">
        <v>252700</v>
      </c>
    </row>
    <row r="34" spans="2:6">
      <c r="B34" s="510"/>
      <c r="C34" s="264" t="s">
        <v>258</v>
      </c>
      <c r="D34" s="265" t="s">
        <v>261</v>
      </c>
      <c r="E34" s="277" t="s">
        <v>72</v>
      </c>
      <c r="F34" s="277">
        <v>257700</v>
      </c>
    </row>
    <row r="35" spans="2:6">
      <c r="B35" s="510"/>
      <c r="C35" s="264" t="s">
        <v>258</v>
      </c>
      <c r="D35" s="265" t="s">
        <v>262</v>
      </c>
      <c r="E35" s="277" t="s">
        <v>263</v>
      </c>
      <c r="F35" s="277">
        <v>262700</v>
      </c>
    </row>
    <row r="36" spans="2:6">
      <c r="B36" s="510"/>
      <c r="C36" s="264" t="s">
        <v>258</v>
      </c>
      <c r="D36" s="265" t="s">
        <v>264</v>
      </c>
      <c r="E36" s="277" t="s">
        <v>265</v>
      </c>
      <c r="F36" s="277">
        <v>275700</v>
      </c>
    </row>
    <row r="37" spans="2:6">
      <c r="B37" s="510"/>
      <c r="C37" s="264"/>
      <c r="D37" s="265"/>
      <c r="E37" s="460" t="s">
        <v>473</v>
      </c>
      <c r="F37" s="277">
        <v>275700</v>
      </c>
    </row>
    <row r="38" spans="2:6">
      <c r="B38" s="510"/>
      <c r="C38" s="264" t="s">
        <v>258</v>
      </c>
      <c r="D38" s="265" t="s">
        <v>266</v>
      </c>
      <c r="E38" s="277" t="s">
        <v>73</v>
      </c>
      <c r="F38" s="277">
        <v>286700</v>
      </c>
    </row>
    <row r="39" spans="2:6">
      <c r="B39" s="500" t="s">
        <v>283</v>
      </c>
      <c r="C39" s="264" t="s">
        <v>284</v>
      </c>
      <c r="D39" s="265" t="s">
        <v>285</v>
      </c>
      <c r="E39" s="277" t="s">
        <v>74</v>
      </c>
      <c r="F39" s="277">
        <v>269700</v>
      </c>
    </row>
    <row r="40" spans="2:6">
      <c r="B40" s="505"/>
      <c r="C40" s="264" t="s">
        <v>284</v>
      </c>
      <c r="D40" s="265" t="s">
        <v>286</v>
      </c>
      <c r="E40" s="277" t="s">
        <v>75</v>
      </c>
      <c r="F40" s="277">
        <v>289700</v>
      </c>
    </row>
    <row r="41" spans="2:6">
      <c r="B41" s="505"/>
      <c r="C41" s="264" t="s">
        <v>284</v>
      </c>
      <c r="D41" s="265" t="s">
        <v>287</v>
      </c>
      <c r="E41" s="277" t="s">
        <v>76</v>
      </c>
      <c r="F41" s="277">
        <v>299700</v>
      </c>
    </row>
    <row r="42" spans="2:6">
      <c r="B42" s="505"/>
      <c r="C42" s="264" t="s">
        <v>284</v>
      </c>
      <c r="D42" s="265" t="s">
        <v>288</v>
      </c>
      <c r="E42" s="277" t="s">
        <v>77</v>
      </c>
      <c r="F42" s="277">
        <v>320700</v>
      </c>
    </row>
    <row r="43" spans="2:6">
      <c r="B43" s="505"/>
      <c r="C43" s="264" t="s">
        <v>284</v>
      </c>
      <c r="D43" s="265" t="s">
        <v>289</v>
      </c>
      <c r="E43" s="277" t="s">
        <v>78</v>
      </c>
      <c r="F43" s="277">
        <v>341700</v>
      </c>
    </row>
    <row r="44" spans="2:6" ht="28">
      <c r="B44" s="501"/>
      <c r="C44" s="264" t="s">
        <v>284</v>
      </c>
      <c r="D44" s="328" t="s">
        <v>290</v>
      </c>
      <c r="E44" s="278" t="s">
        <v>79</v>
      </c>
      <c r="F44" s="277">
        <v>361700</v>
      </c>
    </row>
    <row r="45" spans="2:6">
      <c r="B45" s="500" t="s">
        <v>308</v>
      </c>
      <c r="C45" s="264" t="s">
        <v>304</v>
      </c>
      <c r="D45" s="265" t="s">
        <v>309</v>
      </c>
      <c r="E45" s="277" t="s">
        <v>83</v>
      </c>
      <c r="F45" s="277">
        <v>429900</v>
      </c>
    </row>
    <row r="46" spans="2:6">
      <c r="B46" s="505"/>
      <c r="C46" s="264" t="s">
        <v>304</v>
      </c>
      <c r="D46" s="265" t="s">
        <v>310</v>
      </c>
      <c r="E46" s="277" t="s">
        <v>83</v>
      </c>
      <c r="F46" s="277">
        <v>429900</v>
      </c>
    </row>
    <row r="47" spans="2:6">
      <c r="B47" s="505"/>
      <c r="C47" s="264" t="s">
        <v>304</v>
      </c>
      <c r="D47" s="265" t="s">
        <v>311</v>
      </c>
      <c r="E47" s="277" t="s">
        <v>84</v>
      </c>
      <c r="F47" s="277">
        <v>429900</v>
      </c>
    </row>
    <row r="48" spans="2:6">
      <c r="B48" s="505"/>
      <c r="C48" s="264" t="s">
        <v>304</v>
      </c>
      <c r="D48" s="265" t="s">
        <v>312</v>
      </c>
      <c r="E48" s="277" t="s">
        <v>85</v>
      </c>
      <c r="F48" s="277">
        <v>469900</v>
      </c>
    </row>
    <row r="49" spans="2:6">
      <c r="B49" s="505"/>
      <c r="C49" s="264" t="s">
        <v>304</v>
      </c>
      <c r="D49" s="265" t="s">
        <v>313</v>
      </c>
      <c r="E49" s="277" t="s">
        <v>86</v>
      </c>
      <c r="F49" s="277">
        <v>509900</v>
      </c>
    </row>
    <row r="50" spans="2:6">
      <c r="B50" s="501"/>
      <c r="C50" s="264" t="s">
        <v>304</v>
      </c>
      <c r="D50" s="265" t="s">
        <v>314</v>
      </c>
      <c r="E50" s="277" t="s">
        <v>87</v>
      </c>
      <c r="F50" s="277">
        <v>529900</v>
      </c>
    </row>
    <row r="51" spans="2:6">
      <c r="B51" s="500" t="s">
        <v>315</v>
      </c>
      <c r="C51" s="264" t="s">
        <v>316</v>
      </c>
      <c r="D51" s="265" t="s">
        <v>317</v>
      </c>
      <c r="E51" s="277" t="s">
        <v>318</v>
      </c>
      <c r="F51" s="277">
        <v>269700</v>
      </c>
    </row>
    <row r="52" spans="2:6">
      <c r="B52" s="501"/>
      <c r="C52" s="264" t="s">
        <v>316</v>
      </c>
      <c r="D52" s="265" t="s">
        <v>319</v>
      </c>
      <c r="E52" s="277" t="s">
        <v>88</v>
      </c>
      <c r="F52" s="277">
        <v>239700</v>
      </c>
    </row>
  </sheetData>
  <sheetProtection algorithmName="SHA-512" hashValue="TKk8EV72o4LBFPcYhAGE8hHFvNE9s1kgM9KLGIm3Fdj381t9NiKXy6L//ytUNgZY5kEnXrCSeqo3jJgUJZsnAQ==" saltValue="Xq2/QwoGIav126OHuKA58w==" spinCount="100000" sheet="1" objects="1" scenarios="1"/>
  <mergeCells count="25">
    <mergeCell ref="T10:T16"/>
    <mergeCell ref="B2:I6"/>
    <mergeCell ref="B32:B38"/>
    <mergeCell ref="B25:B31"/>
    <mergeCell ref="N10:N16"/>
    <mergeCell ref="O10:O16"/>
    <mergeCell ref="P10:P16"/>
    <mergeCell ref="R10:R16"/>
    <mergeCell ref="S10:S16"/>
    <mergeCell ref="L10:L16"/>
    <mergeCell ref="M10:M16"/>
    <mergeCell ref="I8:M8"/>
    <mergeCell ref="N8:O8"/>
    <mergeCell ref="B15:B18"/>
    <mergeCell ref="P8:Q8"/>
    <mergeCell ref="Q10:Q16"/>
    <mergeCell ref="B51:B52"/>
    <mergeCell ref="I10:I16"/>
    <mergeCell ref="J10:J16"/>
    <mergeCell ref="K10:K16"/>
    <mergeCell ref="B39:B44"/>
    <mergeCell ref="B22:B24"/>
    <mergeCell ref="B45:B50"/>
    <mergeCell ref="B19:B21"/>
    <mergeCell ref="B10:B14"/>
  </mergeCells>
  <phoneticPr fontId="3" type="noConversion"/>
  <hyperlinks>
    <hyperlink ref="C1" location="试算路径及方案简述!A1" display="返回" xr:uid="{00000000-0004-0000-0100-000000000000}"/>
  </hyperlinks>
  <pageMargins left="0.7" right="0.7" top="0.75" bottom="0.75" header="0.3" footer="0.3"/>
  <pageSetup paperSize="9" orientation="portrait" horizontalDpi="300" verticalDpi="0" copies="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1"/>
  <sheetViews>
    <sheetView showGridLines="0" topLeftCell="H1" zoomScale="115" zoomScaleNormal="115" workbookViewId="0">
      <selection activeCell="P11" sqref="P11"/>
    </sheetView>
  </sheetViews>
  <sheetFormatPr defaultRowHeight="14"/>
  <cols>
    <col min="4" max="4" width="9.75" customWidth="1"/>
    <col min="13" max="13" width="44.25" bestFit="1" customWidth="1"/>
    <col min="16" max="16" width="26.5" customWidth="1"/>
  </cols>
  <sheetData>
    <row r="1" spans="1:18">
      <c r="K1" t="s">
        <v>441</v>
      </c>
      <c r="L1" t="s">
        <v>423</v>
      </c>
      <c r="M1" t="s">
        <v>332</v>
      </c>
      <c r="N1" t="s">
        <v>330</v>
      </c>
      <c r="O1" t="s">
        <v>97</v>
      </c>
      <c r="P1" t="s">
        <v>331</v>
      </c>
      <c r="Q1" t="s">
        <v>333</v>
      </c>
      <c r="R1" t="s">
        <v>457</v>
      </c>
    </row>
    <row r="2" spans="1:18">
      <c r="A2" s="1" t="s">
        <v>35</v>
      </c>
      <c r="B2" s="20">
        <v>5.9900000000000002E-2</v>
      </c>
      <c r="F2" s="1" t="s">
        <v>35</v>
      </c>
      <c r="G2" s="20">
        <v>5.9900000000000002E-2</v>
      </c>
      <c r="H2" t="s">
        <v>16</v>
      </c>
      <c r="K2" t="s">
        <v>456</v>
      </c>
      <c r="L2" t="s">
        <v>426</v>
      </c>
      <c r="M2" t="s">
        <v>294</v>
      </c>
      <c r="N2" t="s">
        <v>270</v>
      </c>
      <c r="O2" t="s">
        <v>425</v>
      </c>
      <c r="P2" t="s">
        <v>70</v>
      </c>
      <c r="Q2" t="s">
        <v>80</v>
      </c>
      <c r="R2" t="s">
        <v>448</v>
      </c>
    </row>
    <row r="3" spans="1:18">
      <c r="A3" s="2" t="s">
        <v>6</v>
      </c>
      <c r="B3" s="2" t="s">
        <v>7</v>
      </c>
      <c r="C3" s="3" t="s">
        <v>8</v>
      </c>
      <c r="D3" s="2" t="s">
        <v>9</v>
      </c>
      <c r="F3" s="2" t="s">
        <v>6</v>
      </c>
      <c r="G3" s="2" t="s">
        <v>7</v>
      </c>
      <c r="H3" s="3" t="s">
        <v>8</v>
      </c>
      <c r="I3" s="2" t="s">
        <v>9</v>
      </c>
      <c r="K3" t="s">
        <v>426</v>
      </c>
      <c r="L3" t="s">
        <v>427</v>
      </c>
      <c r="M3" t="s">
        <v>296</v>
      </c>
      <c r="N3" t="s">
        <v>272</v>
      </c>
      <c r="O3" t="s">
        <v>364</v>
      </c>
      <c r="P3" t="s">
        <v>71</v>
      </c>
      <c r="Q3" t="s">
        <v>81</v>
      </c>
      <c r="R3" t="s">
        <v>450</v>
      </c>
    </row>
    <row r="4" spans="1:18">
      <c r="A4" s="517" t="s">
        <v>14</v>
      </c>
      <c r="B4" s="4" t="s">
        <v>5</v>
      </c>
      <c r="C4" s="419">
        <v>5.2900000000000003E-2</v>
      </c>
      <c r="D4" s="425">
        <v>1.9427E-2</v>
      </c>
      <c r="F4" s="517" t="s">
        <v>15</v>
      </c>
      <c r="G4" s="4" t="s">
        <v>5</v>
      </c>
      <c r="H4" s="424">
        <v>5.8799999999999998E-2</v>
      </c>
      <c r="I4" s="425">
        <v>3.0669999999999998E-3</v>
      </c>
      <c r="K4" t="s">
        <v>427</v>
      </c>
      <c r="L4" t="s">
        <v>97</v>
      </c>
      <c r="M4" t="s">
        <v>298</v>
      </c>
      <c r="N4" t="s">
        <v>274</v>
      </c>
      <c r="O4" t="s">
        <v>365</v>
      </c>
      <c r="P4" t="s">
        <v>72</v>
      </c>
      <c r="Q4" t="s">
        <v>82</v>
      </c>
      <c r="R4" t="s">
        <v>452</v>
      </c>
    </row>
    <row r="5" spans="1:18">
      <c r="A5" s="518"/>
      <c r="B5" s="4" t="s">
        <v>4</v>
      </c>
      <c r="C5" s="419">
        <v>4.99E-2</v>
      </c>
      <c r="D5" s="425">
        <v>2.1873E-2</v>
      </c>
      <c r="F5" s="518"/>
      <c r="G5" s="4" t="s">
        <v>4</v>
      </c>
      <c r="H5" s="424">
        <v>5.8799999999999998E-2</v>
      </c>
      <c r="I5" s="425">
        <v>2.4190000000000001E-3</v>
      </c>
      <c r="K5" t="s">
        <v>97</v>
      </c>
      <c r="L5" t="s">
        <v>428</v>
      </c>
      <c r="M5" t="s">
        <v>300</v>
      </c>
      <c r="N5" t="s">
        <v>276</v>
      </c>
      <c r="O5" t="s">
        <v>366</v>
      </c>
      <c r="P5" t="s">
        <v>263</v>
      </c>
      <c r="Q5" t="s">
        <v>83</v>
      </c>
    </row>
    <row r="6" spans="1:18">
      <c r="A6" s="518"/>
      <c r="B6" s="4" t="s">
        <v>2</v>
      </c>
      <c r="C6" s="419">
        <v>4.99E-2</v>
      </c>
      <c r="D6" s="425">
        <v>1.6236E-2</v>
      </c>
      <c r="F6" s="518"/>
      <c r="G6" s="4" t="s">
        <v>2</v>
      </c>
      <c r="H6" s="424">
        <v>5.8799999999999998E-2</v>
      </c>
      <c r="I6" s="425">
        <v>1.794E-3</v>
      </c>
      <c r="K6" t="s">
        <v>428</v>
      </c>
      <c r="L6" t="s">
        <v>429</v>
      </c>
      <c r="M6" t="s">
        <v>74</v>
      </c>
      <c r="N6" t="s">
        <v>278</v>
      </c>
      <c r="P6" t="s">
        <v>265</v>
      </c>
      <c r="Q6" t="s">
        <v>83</v>
      </c>
    </row>
    <row r="7" spans="1:18">
      <c r="A7" s="518"/>
      <c r="B7" s="4" t="s">
        <v>1</v>
      </c>
      <c r="C7" s="419">
        <v>3.9899999999999998E-2</v>
      </c>
      <c r="D7" s="425">
        <v>2.1496000000000001E-2</v>
      </c>
      <c r="F7" s="518"/>
      <c r="G7" s="4" t="s">
        <v>1</v>
      </c>
      <c r="H7" s="424">
        <v>5.8799999999999998E-2</v>
      </c>
      <c r="I7" s="425">
        <v>1.1900000000000001E-3</v>
      </c>
      <c r="K7" t="s">
        <v>429</v>
      </c>
      <c r="M7" t="s">
        <v>75</v>
      </c>
      <c r="N7" t="s">
        <v>280</v>
      </c>
      <c r="P7" t="s">
        <v>473</v>
      </c>
      <c r="Q7" t="s">
        <v>84</v>
      </c>
    </row>
    <row r="8" spans="1:18" ht="14" customHeight="1">
      <c r="A8" s="519"/>
      <c r="B8" s="395" t="s">
        <v>0</v>
      </c>
      <c r="C8" s="420">
        <v>2.9899999999999999E-2</v>
      </c>
      <c r="D8" s="395"/>
      <c r="F8" s="519"/>
      <c r="G8" s="395" t="s">
        <v>0</v>
      </c>
      <c r="H8" s="396">
        <v>5.8799999999999998E-2</v>
      </c>
      <c r="I8" s="395"/>
      <c r="M8" t="s">
        <v>76</v>
      </c>
      <c r="N8" t="s">
        <v>282</v>
      </c>
      <c r="P8" t="s">
        <v>73</v>
      </c>
      <c r="Q8" t="s">
        <v>84</v>
      </c>
    </row>
    <row r="9" spans="1:18">
      <c r="A9" s="4">
        <v>5050</v>
      </c>
      <c r="B9" s="4" t="s">
        <v>401</v>
      </c>
      <c r="C9" s="419">
        <v>2.9899999999999999E-2</v>
      </c>
      <c r="D9" s="4">
        <v>0.03</v>
      </c>
      <c r="F9" s="4">
        <v>5050</v>
      </c>
      <c r="G9" s="4" t="s">
        <v>0</v>
      </c>
      <c r="H9" s="5">
        <v>5.9900000000000002E-2</v>
      </c>
      <c r="I9" s="4">
        <v>1.1000000000000001E-3</v>
      </c>
      <c r="M9" t="s">
        <v>77</v>
      </c>
      <c r="Q9" t="s">
        <v>85</v>
      </c>
    </row>
    <row r="10" spans="1:18">
      <c r="A10" s="517" t="s">
        <v>327</v>
      </c>
      <c r="B10" s="268">
        <v>0.2</v>
      </c>
      <c r="C10" s="419">
        <v>5.8799999999999998E-2</v>
      </c>
      <c r="D10" s="425">
        <v>2.359E-3</v>
      </c>
      <c r="M10" t="s">
        <v>78</v>
      </c>
      <c r="Q10" t="s">
        <v>85</v>
      </c>
    </row>
    <row r="11" spans="1:18">
      <c r="A11" s="519"/>
      <c r="B11" s="268">
        <v>0.3</v>
      </c>
      <c r="C11" s="419">
        <v>5.8799999999999998E-2</v>
      </c>
      <c r="D11" s="425">
        <v>2.4390000000000002E-3</v>
      </c>
      <c r="M11" t="s">
        <v>79</v>
      </c>
      <c r="Q11" t="s">
        <v>86</v>
      </c>
    </row>
    <row r="12" spans="1:18">
      <c r="A12" s="2" t="s">
        <v>10</v>
      </c>
      <c r="B12" s="6" t="s">
        <v>11</v>
      </c>
      <c r="C12" s="421">
        <v>0.11</v>
      </c>
      <c r="D12" s="6">
        <v>1.8026E-2</v>
      </c>
      <c r="Q12" t="s">
        <v>87</v>
      </c>
    </row>
    <row r="14" spans="1:18">
      <c r="A14" s="2" t="s">
        <v>6</v>
      </c>
      <c r="B14" s="2" t="s">
        <v>7</v>
      </c>
      <c r="C14" s="3" t="s">
        <v>8</v>
      </c>
      <c r="D14" s="2" t="s">
        <v>13</v>
      </c>
    </row>
    <row r="15" spans="1:18">
      <c r="A15" s="2" t="s">
        <v>12</v>
      </c>
      <c r="B15" s="6" t="s">
        <v>0</v>
      </c>
      <c r="C15" s="3">
        <v>9.9000000000000008E-3</v>
      </c>
      <c r="D15" s="6">
        <v>3285</v>
      </c>
    </row>
    <row r="16" spans="1:18" s="456" customFormat="1">
      <c r="A16" s="453" t="s">
        <v>458</v>
      </c>
      <c r="B16" s="454" t="s">
        <v>1</v>
      </c>
      <c r="C16" s="455">
        <v>9.9000000000000008E-3</v>
      </c>
      <c r="D16" s="454">
        <v>5324.15</v>
      </c>
    </row>
    <row r="17" spans="1:4">
      <c r="A17" s="450" t="s">
        <v>464</v>
      </c>
      <c r="B17" s="444" t="s">
        <v>1</v>
      </c>
      <c r="C17" s="452">
        <v>1.9900000000000001E-2</v>
      </c>
      <c r="D17" s="451">
        <v>3418.05</v>
      </c>
    </row>
    <row r="18" spans="1:4">
      <c r="A18" s="391"/>
      <c r="B18" s="392"/>
      <c r="C18" s="393"/>
      <c r="D18" s="392"/>
    </row>
    <row r="19" spans="1:4">
      <c r="A19" s="394" t="s">
        <v>35</v>
      </c>
      <c r="B19" s="20">
        <v>5.9900000000000002E-2</v>
      </c>
    </row>
    <row r="20" spans="1:4">
      <c r="A20" s="520" t="s">
        <v>3</v>
      </c>
      <c r="B20" s="4" t="s">
        <v>1</v>
      </c>
      <c r="C20" s="5">
        <v>3.9899999999999998E-2</v>
      </c>
      <c r="D20" s="4">
        <v>2.1495E-2</v>
      </c>
    </row>
    <row r="21" spans="1:4">
      <c r="A21" s="521"/>
      <c r="B21" s="6" t="s">
        <v>0</v>
      </c>
      <c r="C21" s="418">
        <v>2.9899999999999999E-2</v>
      </c>
      <c r="D21" s="6">
        <v>1.6472000000000001E-2</v>
      </c>
    </row>
  </sheetData>
  <mergeCells count="4">
    <mergeCell ref="F4:F8"/>
    <mergeCell ref="A10:A11"/>
    <mergeCell ref="A20:A21"/>
    <mergeCell ref="A4:A8"/>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sheetPr>
  <dimension ref="A1:O18"/>
  <sheetViews>
    <sheetView showGridLines="0" zoomScale="85" zoomScaleNormal="85" workbookViewId="0">
      <selection activeCell="E3" sqref="E3"/>
    </sheetView>
  </sheetViews>
  <sheetFormatPr defaultColWidth="8.6640625" defaultRowHeight="16.5"/>
  <cols>
    <col min="1" max="1" width="20.33203125" style="39" customWidth="1"/>
    <col min="2" max="2" width="14.58203125" style="39" customWidth="1"/>
    <col min="3" max="3" width="22.4140625" style="39" customWidth="1"/>
    <col min="4" max="4" width="14" style="39" customWidth="1"/>
    <col min="5" max="9" width="11.08203125" style="39" customWidth="1"/>
    <col min="10" max="10" width="69.4140625" style="39" customWidth="1"/>
    <col min="11" max="11" width="10.9140625" style="39" customWidth="1"/>
    <col min="12" max="14" width="8.6640625" style="39"/>
    <col min="15" max="15" width="14" style="39" customWidth="1"/>
    <col min="16" max="16384" width="8.6640625" style="39"/>
  </cols>
  <sheetData>
    <row r="1" spans="1:15" ht="25">
      <c r="J1" s="260" t="s">
        <v>68</v>
      </c>
    </row>
    <row r="2" spans="1:15">
      <c r="A2" s="17" t="s">
        <v>33</v>
      </c>
    </row>
    <row r="3" spans="1:15" ht="20.5" customHeight="1">
      <c r="A3" s="408" t="s">
        <v>17</v>
      </c>
      <c r="B3" s="542" t="s">
        <v>424</v>
      </c>
      <c r="C3" s="542"/>
      <c r="D3" s="409"/>
      <c r="E3" s="410"/>
    </row>
    <row r="4" spans="1:15" ht="20.5" customHeight="1">
      <c r="A4" s="408" t="s">
        <v>421</v>
      </c>
      <c r="B4" s="538" t="s">
        <v>425</v>
      </c>
      <c r="C4" s="539"/>
      <c r="D4" s="411"/>
      <c r="E4" s="410"/>
    </row>
    <row r="5" spans="1:15" ht="19.5" customHeight="1">
      <c r="A5" s="408" t="s">
        <v>420</v>
      </c>
      <c r="B5" s="540">
        <f>VLOOKUP(B4,'厂贴车型明细&amp;贷款金额说明'!E9:F62,2,0)</f>
        <v>379900</v>
      </c>
      <c r="C5" s="541"/>
      <c r="D5" s="411"/>
      <c r="E5" s="410"/>
    </row>
    <row r="6" spans="1:15" ht="22" customHeight="1">
      <c r="A6" s="7" t="s">
        <v>64</v>
      </c>
      <c r="B6" s="543">
        <v>265900</v>
      </c>
      <c r="C6" s="543"/>
      <c r="F6" s="536" t="s">
        <v>251</v>
      </c>
      <c r="G6" s="536"/>
      <c r="H6" s="536"/>
      <c r="I6" s="536"/>
      <c r="J6" s="536"/>
    </row>
    <row r="7" spans="1:15" ht="22" hidden="1" customHeight="1">
      <c r="A7" s="7"/>
      <c r="B7" s="532"/>
      <c r="C7" s="532"/>
      <c r="E7" s="225"/>
      <c r="F7" s="536"/>
      <c r="G7" s="536"/>
      <c r="H7" s="536"/>
      <c r="I7" s="536"/>
      <c r="J7" s="536"/>
    </row>
    <row r="8" spans="1:15" ht="22" customHeight="1">
      <c r="A8" s="8" t="s">
        <v>19</v>
      </c>
      <c r="B8" s="532">
        <f>B6+B7</f>
        <v>265900</v>
      </c>
      <c r="C8" s="532"/>
      <c r="F8" s="536"/>
      <c r="G8" s="536"/>
      <c r="H8" s="536"/>
      <c r="I8" s="536"/>
      <c r="J8" s="536"/>
    </row>
    <row r="9" spans="1:15" ht="22" customHeight="1">
      <c r="A9" s="7" t="s">
        <v>328</v>
      </c>
      <c r="B9" s="533">
        <v>80000</v>
      </c>
      <c r="C9" s="533"/>
      <c r="F9" s="536"/>
      <c r="G9" s="536"/>
      <c r="H9" s="536"/>
      <c r="I9" s="536"/>
      <c r="J9" s="536"/>
    </row>
    <row r="10" spans="1:15" ht="3" customHeight="1"/>
    <row r="11" spans="1:15" ht="18.649999999999999" customHeight="1"/>
    <row r="12" spans="1:15">
      <c r="A12" s="18" t="s">
        <v>34</v>
      </c>
    </row>
    <row r="13" spans="1:15">
      <c r="A13" s="19" t="s">
        <v>252</v>
      </c>
      <c r="B13" s="19" t="s">
        <v>21</v>
      </c>
      <c r="C13" s="12" t="s">
        <v>22</v>
      </c>
    </row>
    <row r="14" spans="1:15">
      <c r="A14" s="522" t="s">
        <v>323</v>
      </c>
      <c r="B14" s="42">
        <f>B6-B9</f>
        <v>185900</v>
      </c>
      <c r="C14" s="41">
        <f>B14/B6</f>
        <v>0.69913501316284321</v>
      </c>
      <c r="D14" s="38"/>
      <c r="M14" s="83" t="s">
        <v>229</v>
      </c>
    </row>
    <row r="15" spans="1:15" ht="33.5">
      <c r="A15" s="523"/>
      <c r="B15" s="11" t="s">
        <v>24</v>
      </c>
      <c r="C15" s="21" t="s">
        <v>25</v>
      </c>
      <c r="D15" s="25" t="s">
        <v>62</v>
      </c>
      <c r="E15" s="23" t="s">
        <v>40</v>
      </c>
      <c r="F15" s="24" t="s">
        <v>41</v>
      </c>
      <c r="G15" s="29" t="s">
        <v>50</v>
      </c>
      <c r="H15" s="25" t="s">
        <v>59</v>
      </c>
      <c r="I15" s="36" t="s">
        <v>42</v>
      </c>
      <c r="J15" s="66" t="s">
        <v>398</v>
      </c>
      <c r="L15" s="13" t="s">
        <v>27</v>
      </c>
      <c r="M15" s="525">
        <v>12</v>
      </c>
      <c r="N15" s="525"/>
      <c r="O15" s="28" t="s">
        <v>51</v>
      </c>
    </row>
    <row r="16" spans="1:15" ht="22" customHeight="1">
      <c r="A16" s="523"/>
      <c r="B16" s="22" t="s">
        <v>48</v>
      </c>
      <c r="C16" s="43">
        <f>PMT(0%/12,12,-B9*4.48%)</f>
        <v>298.66666666666669</v>
      </c>
      <c r="D16" s="34">
        <v>0</v>
      </c>
      <c r="E16" s="35">
        <v>0</v>
      </c>
      <c r="F16" s="35">
        <v>0</v>
      </c>
      <c r="G16" s="35">
        <v>0</v>
      </c>
      <c r="H16" s="526">
        <v>5.2299999999999999E-2</v>
      </c>
      <c r="I16" s="528">
        <v>6254.8</v>
      </c>
      <c r="J16" s="534" t="s">
        <v>416</v>
      </c>
      <c r="L16" s="13" t="s">
        <v>29</v>
      </c>
      <c r="M16" s="530">
        <f>IF(M15&lt;13,B9-C16*M15,B9-(C17*(M15-12)+C16*12-M18))</f>
        <v>76416</v>
      </c>
      <c r="N16" s="530"/>
    </row>
    <row r="17" spans="1:14" ht="22" customHeight="1">
      <c r="A17" s="524"/>
      <c r="B17" s="22" t="s">
        <v>49</v>
      </c>
      <c r="C17" s="43">
        <f>ROUNDUP(PMT(7.98%/12,48,-(B9-C16*12)),2)</f>
        <v>1864.83</v>
      </c>
      <c r="D17" s="44">
        <f>C17*48-(B9-C16*12)</f>
        <v>13095.839999999997</v>
      </c>
      <c r="E17" s="41">
        <f>RATE(48,-C17,B9-(C16*12))*12</f>
        <v>7.9802632359665351E-2</v>
      </c>
      <c r="F17" s="41">
        <f>D17/(B9-C16*12)/4</f>
        <v>4.284390703517587E-2</v>
      </c>
      <c r="G17" s="41">
        <f>D17/(B9-C16*12)</f>
        <v>0.17137562814070348</v>
      </c>
      <c r="H17" s="527"/>
      <c r="I17" s="529"/>
      <c r="J17" s="535"/>
      <c r="L17" s="15" t="s">
        <v>31</v>
      </c>
      <c r="M17" s="531">
        <f>D17-M18</f>
        <v>13095.839999999997</v>
      </c>
      <c r="N17" s="531"/>
    </row>
    <row r="18" spans="1:14">
      <c r="J18" s="229" t="s">
        <v>52</v>
      </c>
      <c r="L18" s="27" t="s">
        <v>44</v>
      </c>
      <c r="M18" s="537">
        <f>IF(M15&lt;13,0,(B9*(E17/12)-C17)*((1+(E17/12))^(M15-12)-1)/(E17/12)+(C17)*(M15-12))</f>
        <v>0</v>
      </c>
      <c r="N18" s="537"/>
    </row>
  </sheetData>
  <mergeCells count="16">
    <mergeCell ref="B4:C4"/>
    <mergeCell ref="B5:C5"/>
    <mergeCell ref="B3:C3"/>
    <mergeCell ref="B6:C6"/>
    <mergeCell ref="B7:C7"/>
    <mergeCell ref="B8:C8"/>
    <mergeCell ref="B9:C9"/>
    <mergeCell ref="J16:J17"/>
    <mergeCell ref="F6:J9"/>
    <mergeCell ref="M18:N18"/>
    <mergeCell ref="A14:A17"/>
    <mergeCell ref="M15:N15"/>
    <mergeCell ref="H16:H17"/>
    <mergeCell ref="I16:I17"/>
    <mergeCell ref="M16:N16"/>
    <mergeCell ref="M17:N17"/>
  </mergeCells>
  <phoneticPr fontId="3" type="noConversion"/>
  <dataValidations count="2">
    <dataValidation type="list" allowBlank="1" showInputMessage="1" showErrorMessage="1" sqref="B3:C3" xr:uid="{3281750C-0B48-44DE-B1D4-6DBCBDB42D46}">
      <formula1>车系</formula1>
    </dataValidation>
    <dataValidation type="list" allowBlank="1" showInputMessage="1" showErrorMessage="1" sqref="B4:C4" xr:uid="{696D59E9-4EC6-4882-80B6-5872A17FF712}">
      <formula1>INDIRECT($B$3)</formula1>
    </dataValidation>
  </dataValidations>
  <hyperlinks>
    <hyperlink ref="J1" location="试算路径及方案简述!A1" display="返回" xr:uid="{00000000-0004-0000-02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sheetPr>
  <dimension ref="A1:O18"/>
  <sheetViews>
    <sheetView showGridLines="0" topLeftCell="B1" zoomScale="70" zoomScaleNormal="70" workbookViewId="0">
      <selection activeCell="O8" sqref="O8"/>
    </sheetView>
  </sheetViews>
  <sheetFormatPr defaultColWidth="8.6640625" defaultRowHeight="16.5"/>
  <cols>
    <col min="1" max="1" width="22" style="39" customWidth="1"/>
    <col min="2" max="2" width="14.6640625" style="39" customWidth="1"/>
    <col min="3" max="3" width="23" style="39" customWidth="1"/>
    <col min="4" max="4" width="16.08203125" style="39" customWidth="1"/>
    <col min="5" max="5" width="12.9140625" style="39" customWidth="1"/>
    <col min="6" max="9" width="11.08203125" style="39" customWidth="1"/>
    <col min="10" max="10" width="60.58203125" style="39" customWidth="1"/>
    <col min="11" max="11" width="10.9140625" style="39" customWidth="1"/>
    <col min="12" max="14" width="8.6640625" style="39"/>
    <col min="15" max="15" width="14.25" style="39" customWidth="1"/>
    <col min="16" max="16384" width="8.6640625" style="39"/>
  </cols>
  <sheetData>
    <row r="1" spans="1:15" ht="25">
      <c r="J1" s="260" t="s">
        <v>68</v>
      </c>
    </row>
    <row r="2" spans="1:15">
      <c r="A2" s="17" t="s">
        <v>33</v>
      </c>
    </row>
    <row r="3" spans="1:15" ht="25" customHeight="1">
      <c r="A3" s="408" t="s">
        <v>17</v>
      </c>
      <c r="B3" s="542" t="s">
        <v>455</v>
      </c>
      <c r="C3" s="542"/>
      <c r="D3" s="409"/>
    </row>
    <row r="4" spans="1:15" ht="25" customHeight="1">
      <c r="A4" s="408" t="s">
        <v>421</v>
      </c>
      <c r="B4" s="538" t="s">
        <v>450</v>
      </c>
      <c r="C4" s="539"/>
      <c r="D4" s="411"/>
    </row>
    <row r="5" spans="1:15" ht="24.5" customHeight="1">
      <c r="A5" s="408" t="s">
        <v>420</v>
      </c>
      <c r="B5" s="540">
        <f>VLOOKUP(B4,'厂贴车型明细&amp;贷款金额说明'!E9:F62,2,0)</f>
        <v>399900</v>
      </c>
      <c r="C5" s="541"/>
      <c r="D5" s="411"/>
    </row>
    <row r="6" spans="1:15" ht="22" customHeight="1">
      <c r="A6" s="7" t="s">
        <v>64</v>
      </c>
      <c r="B6" s="543">
        <v>280000</v>
      </c>
      <c r="C6" s="543"/>
      <c r="E6" s="261"/>
      <c r="F6" s="536" t="s">
        <v>324</v>
      </c>
      <c r="G6" s="536"/>
      <c r="H6" s="536"/>
      <c r="I6" s="536"/>
      <c r="J6" s="536"/>
    </row>
    <row r="7" spans="1:15" ht="33">
      <c r="A7" s="55" t="s">
        <v>63</v>
      </c>
      <c r="B7" s="543">
        <v>0</v>
      </c>
      <c r="C7" s="543"/>
      <c r="D7" s="545"/>
      <c r="E7" s="546"/>
      <c r="F7" s="536"/>
      <c r="G7" s="536"/>
      <c r="H7" s="536"/>
      <c r="I7" s="536"/>
      <c r="J7" s="536"/>
    </row>
    <row r="8" spans="1:15" ht="22" customHeight="1">
      <c r="A8" s="8" t="s">
        <v>19</v>
      </c>
      <c r="B8" s="532">
        <f>B6+B7</f>
        <v>280000</v>
      </c>
      <c r="C8" s="532"/>
      <c r="D8" s="547" t="s">
        <v>325</v>
      </c>
      <c r="E8" s="548"/>
      <c r="F8" s="536"/>
      <c r="G8" s="536"/>
      <c r="H8" s="536"/>
      <c r="I8" s="536"/>
      <c r="J8" s="536"/>
    </row>
    <row r="9" spans="1:15" ht="22" customHeight="1">
      <c r="A9" s="7" t="s">
        <v>20</v>
      </c>
      <c r="B9" s="543">
        <v>100000</v>
      </c>
      <c r="C9" s="543"/>
      <c r="E9" s="261"/>
      <c r="F9" s="536"/>
      <c r="G9" s="536"/>
      <c r="H9" s="536"/>
      <c r="I9" s="536"/>
      <c r="J9" s="536"/>
    </row>
    <row r="10" spans="1:15" ht="3" customHeight="1"/>
    <row r="11" spans="1:15" ht="17.399999999999999" customHeight="1"/>
    <row r="12" spans="1:15">
      <c r="A12" s="18" t="s">
        <v>34</v>
      </c>
    </row>
    <row r="13" spans="1:15">
      <c r="A13" s="19" t="s">
        <v>252</v>
      </c>
      <c r="B13" s="12" t="s">
        <v>22</v>
      </c>
      <c r="C13" s="19" t="s">
        <v>21</v>
      </c>
      <c r="D13" s="292" t="s">
        <v>368</v>
      </c>
      <c r="E13" s="228">
        <v>0.2</v>
      </c>
    </row>
    <row r="14" spans="1:15" ht="16.5" customHeight="1">
      <c r="A14" s="544" t="s">
        <v>67</v>
      </c>
      <c r="B14" s="41">
        <f>C14/B8</f>
        <v>0.6428571428571429</v>
      </c>
      <c r="C14" s="42">
        <f>B8-B9</f>
        <v>180000</v>
      </c>
      <c r="D14" s="10"/>
      <c r="M14" s="83" t="s">
        <v>107</v>
      </c>
      <c r="N14" s="9"/>
      <c r="O14" s="9"/>
    </row>
    <row r="15" spans="1:15" ht="33.5">
      <c r="A15" s="544"/>
      <c r="B15" s="11" t="s">
        <v>24</v>
      </c>
      <c r="C15" s="21" t="s">
        <v>25</v>
      </c>
      <c r="D15" s="25" t="s">
        <v>62</v>
      </c>
      <c r="E15" s="23" t="s">
        <v>40</v>
      </c>
      <c r="F15" s="24" t="s">
        <v>41</v>
      </c>
      <c r="G15" s="29" t="s">
        <v>50</v>
      </c>
      <c r="H15" s="36" t="s">
        <v>42</v>
      </c>
      <c r="I15" s="26" t="s">
        <v>43</v>
      </c>
      <c r="J15" s="380" t="s">
        <v>398</v>
      </c>
      <c r="L15" s="13" t="s">
        <v>27</v>
      </c>
      <c r="M15" s="525">
        <v>12</v>
      </c>
      <c r="N15" s="525"/>
      <c r="O15" s="212" t="s">
        <v>65</v>
      </c>
    </row>
    <row r="16" spans="1:15" ht="22" customHeight="1">
      <c r="A16" s="544"/>
      <c r="B16" s="22" t="s">
        <v>26</v>
      </c>
      <c r="C16" s="43">
        <f>PMT(E16/12,60,-B9)</f>
        <v>2174.7410493296129</v>
      </c>
      <c r="D16" s="44">
        <f>C16*60-B9</f>
        <v>30484.462959776778</v>
      </c>
      <c r="E16" s="407">
        <f>ROUNDUP(RATE(60,-C17,B9)*12,4)</f>
        <v>0.1101</v>
      </c>
      <c r="F16" s="41">
        <f>D16/B9/5</f>
        <v>6.0968925919553552E-2</v>
      </c>
      <c r="G16" s="41">
        <f>D16/$B$9</f>
        <v>0.30484462959776776</v>
      </c>
      <c r="H16" s="45">
        <f>$B$9*VLOOKUP(B16,系数参数!$B$12:$D$12,3,0)</f>
        <v>1802.6000000000001</v>
      </c>
      <c r="I16" s="52">
        <v>50000</v>
      </c>
      <c r="J16" s="226" t="s">
        <v>412</v>
      </c>
      <c r="L16" s="13" t="s">
        <v>29</v>
      </c>
      <c r="M16" s="530">
        <f>B9-(C16*M15-M18)</f>
        <v>84128.013519720276</v>
      </c>
      <c r="N16" s="530"/>
      <c r="O16" s="14"/>
    </row>
    <row r="17" spans="3:15" ht="22" customHeight="1">
      <c r="C17" s="270">
        <f>ROUNDUP(PMT(11.6%/12,60,-$B$9)-H16/60,2)</f>
        <v>2174.25</v>
      </c>
      <c r="L17" s="15" t="s">
        <v>31</v>
      </c>
      <c r="M17" s="531">
        <f>D16-M18</f>
        <v>20259.556848101147</v>
      </c>
      <c r="N17" s="531"/>
      <c r="O17" s="14"/>
    </row>
    <row r="18" spans="3:15" ht="22" customHeight="1">
      <c r="C18" s="269"/>
      <c r="L18" s="27" t="s">
        <v>44</v>
      </c>
      <c r="M18" s="537">
        <f>(B9*(E16/12)-C16)*((1+(E16/12))^(M15)-1)/(E16/12)+(C16)*M15</f>
        <v>10224.906111675631</v>
      </c>
      <c r="N18" s="537"/>
      <c r="O18" s="16"/>
    </row>
  </sheetData>
  <sheetProtection algorithmName="SHA-512" hashValue="GA5G/90hDRHgMjz+QR913Do9coeNTN+gcWSkTbEvyPWiBm5xnpGWFX6l+7reC0ElcPHW8eOwAgbK6mo7OYbL6A==" saltValue="BjtPp4x8I6sBz64sD8yTpg==" spinCount="100000" sheet="1" objects="1" scenarios="1"/>
  <mergeCells count="15">
    <mergeCell ref="F6:J9"/>
    <mergeCell ref="D7:E7"/>
    <mergeCell ref="D8:E8"/>
    <mergeCell ref="B3:C3"/>
    <mergeCell ref="B6:C6"/>
    <mergeCell ref="B7:C7"/>
    <mergeCell ref="B8:C8"/>
    <mergeCell ref="B9:C9"/>
    <mergeCell ref="B4:C4"/>
    <mergeCell ref="B5:C5"/>
    <mergeCell ref="A14:A16"/>
    <mergeCell ref="M15:N15"/>
    <mergeCell ref="M16:N16"/>
    <mergeCell ref="M17:N17"/>
    <mergeCell ref="M18:N18"/>
  </mergeCells>
  <phoneticPr fontId="3" type="noConversion"/>
  <conditionalFormatting sqref="D14">
    <cfRule type="expression" dxfId="95" priority="5">
      <formula>$B$14&lt;30%</formula>
    </cfRule>
  </conditionalFormatting>
  <conditionalFormatting sqref="D13:E13">
    <cfRule type="expression" dxfId="94" priority="2">
      <formula>$B$14&lt;$E$13</formula>
    </cfRule>
  </conditionalFormatting>
  <conditionalFormatting sqref="I16">
    <cfRule type="expression" dxfId="93" priority="1">
      <formula>$B$9&lt;$I$16</formula>
    </cfRule>
  </conditionalFormatting>
  <dataValidations count="2">
    <dataValidation type="list" allowBlank="1" showInputMessage="1" showErrorMessage="1" sqref="B4:C4" xr:uid="{0B335769-B1CF-4560-A215-A36189DFC3FD}">
      <formula1>INDIRECT($B$3)</formula1>
    </dataValidation>
    <dataValidation type="list" allowBlank="1" showInputMessage="1" showErrorMessage="1" sqref="B3:C3" xr:uid="{DFA50026-566E-4F08-B8C5-E1B4C726358C}">
      <formula1>车系1</formula1>
    </dataValidation>
  </dataValidations>
  <hyperlinks>
    <hyperlink ref="J1" location="试算路径及方案简述!A1" display="返回" xr:uid="{00000000-0004-0000-03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B956F-CFF1-4D87-8D47-5B9A4FA22341}">
  <sheetPr>
    <tabColor theme="4" tint="0.79998168889431442"/>
  </sheetPr>
  <dimension ref="A1:O48"/>
  <sheetViews>
    <sheetView showGridLines="0" zoomScale="70" zoomScaleNormal="70" workbookViewId="0">
      <pane ySplit="12" topLeftCell="A13" activePane="bottomLeft" state="frozen"/>
      <selection pane="bottomLeft" activeCell="O20" sqref="O20"/>
    </sheetView>
  </sheetViews>
  <sheetFormatPr defaultColWidth="8.6640625" defaultRowHeight="16.5"/>
  <cols>
    <col min="1" max="1" width="19.6640625" style="39" customWidth="1"/>
    <col min="2" max="2" width="14.58203125" style="39" customWidth="1"/>
    <col min="3" max="3" width="17.1640625" style="39" customWidth="1"/>
    <col min="4" max="4" width="17.6640625" style="39" customWidth="1"/>
    <col min="5" max="5" width="12.33203125" style="39" customWidth="1"/>
    <col min="6" max="9" width="11.08203125" style="39" customWidth="1"/>
    <col min="10" max="10" width="73.9140625" style="39" customWidth="1"/>
    <col min="11" max="11" width="10.9140625" style="39" customWidth="1"/>
    <col min="12" max="14" width="8.6640625" style="39"/>
    <col min="15" max="15" width="14.25" style="39" customWidth="1"/>
    <col min="16" max="16384" width="8.6640625" style="39"/>
  </cols>
  <sheetData>
    <row r="1" spans="1:15" ht="25">
      <c r="J1" s="260" t="s">
        <v>68</v>
      </c>
    </row>
    <row r="2" spans="1:15">
      <c r="A2" s="17" t="s">
        <v>33</v>
      </c>
    </row>
    <row r="3" spans="1:15" ht="23.5" customHeight="1">
      <c r="A3" s="408" t="s">
        <v>17</v>
      </c>
      <c r="B3" s="564" t="s">
        <v>454</v>
      </c>
      <c r="C3" s="565"/>
    </row>
    <row r="4" spans="1:15" ht="23.5" customHeight="1">
      <c r="A4" s="408" t="s">
        <v>421</v>
      </c>
      <c r="B4" s="542" t="s">
        <v>450</v>
      </c>
      <c r="C4" s="542"/>
    </row>
    <row r="5" spans="1:15" ht="23" customHeight="1">
      <c r="A5" s="408" t="s">
        <v>420</v>
      </c>
      <c r="B5" s="540">
        <f>VLOOKUP(B4,'厂贴车型明细&amp;贷款金额说明'!E9:F62,2,0)</f>
        <v>399900</v>
      </c>
      <c r="C5" s="541"/>
    </row>
    <row r="6" spans="1:15" ht="22" customHeight="1">
      <c r="A6" s="7" t="s">
        <v>64</v>
      </c>
      <c r="B6" s="543">
        <v>265900</v>
      </c>
      <c r="C6" s="543"/>
      <c r="F6" s="536" t="s">
        <v>254</v>
      </c>
      <c r="G6" s="536"/>
      <c r="H6" s="536"/>
      <c r="I6" s="536"/>
      <c r="J6" s="536"/>
    </row>
    <row r="7" spans="1:15" ht="22" customHeight="1">
      <c r="A7" s="7" t="s">
        <v>18</v>
      </c>
      <c r="B7" s="543">
        <v>0</v>
      </c>
      <c r="C7" s="543"/>
      <c r="F7" s="536"/>
      <c r="G7" s="536"/>
      <c r="H7" s="536"/>
      <c r="I7" s="536"/>
      <c r="J7" s="536"/>
    </row>
    <row r="8" spans="1:15" ht="22" customHeight="1">
      <c r="A8" s="8" t="s">
        <v>19</v>
      </c>
      <c r="B8" s="532">
        <f>B6+B7</f>
        <v>265900</v>
      </c>
      <c r="C8" s="532"/>
      <c r="D8" s="547" t="s">
        <v>325</v>
      </c>
      <c r="E8" s="548"/>
      <c r="F8" s="536"/>
      <c r="G8" s="536"/>
      <c r="H8" s="536"/>
      <c r="I8" s="536"/>
      <c r="J8" s="536"/>
    </row>
    <row r="9" spans="1:15" ht="22" customHeight="1">
      <c r="A9" s="7" t="s">
        <v>20</v>
      </c>
      <c r="B9" s="543">
        <v>200000</v>
      </c>
      <c r="C9" s="543"/>
      <c r="F9" s="536"/>
      <c r="G9" s="536"/>
      <c r="H9" s="536"/>
      <c r="I9" s="536"/>
      <c r="J9" s="536"/>
    </row>
    <row r="10" spans="1:15" ht="3" customHeight="1"/>
    <row r="11" spans="1:15" ht="12.5" customHeight="1"/>
    <row r="12" spans="1:15">
      <c r="A12" s="18" t="s">
        <v>34</v>
      </c>
    </row>
    <row r="13" spans="1:15">
      <c r="A13" s="248" t="s">
        <v>36</v>
      </c>
      <c r="B13" s="255" t="s">
        <v>22</v>
      </c>
      <c r="C13" s="19" t="s">
        <v>21</v>
      </c>
      <c r="D13" s="326" t="s">
        <v>368</v>
      </c>
      <c r="E13" s="233">
        <v>0.2</v>
      </c>
    </row>
    <row r="14" spans="1:15" ht="16.5" customHeight="1">
      <c r="A14" s="544" t="s">
        <v>53</v>
      </c>
      <c r="B14" s="433">
        <f>C14/B8</f>
        <v>0.24783753290710794</v>
      </c>
      <c r="C14" s="373">
        <f>B8-B9</f>
        <v>65900</v>
      </c>
      <c r="D14" s="232" t="s">
        <v>23</v>
      </c>
      <c r="E14" s="235"/>
      <c r="M14" s="83" t="s">
        <v>107</v>
      </c>
      <c r="N14" s="9"/>
      <c r="O14" s="9"/>
    </row>
    <row r="15" spans="1:15" ht="33.5">
      <c r="A15" s="544"/>
      <c r="B15" s="19" t="s">
        <v>24</v>
      </c>
      <c r="C15" s="374" t="s">
        <v>25</v>
      </c>
      <c r="D15" s="249" t="s">
        <v>62</v>
      </c>
      <c r="E15" s="250" t="s">
        <v>40</v>
      </c>
      <c r="F15" s="251" t="s">
        <v>41</v>
      </c>
      <c r="G15" s="252" t="s">
        <v>50</v>
      </c>
      <c r="H15" s="253" t="s">
        <v>42</v>
      </c>
      <c r="I15" s="254" t="s">
        <v>43</v>
      </c>
      <c r="J15" s="431" t="s">
        <v>398</v>
      </c>
      <c r="L15" s="13" t="s">
        <v>27</v>
      </c>
      <c r="M15" s="525">
        <v>24</v>
      </c>
      <c r="N15" s="525"/>
      <c r="O15" s="212" t="s">
        <v>45</v>
      </c>
    </row>
    <row r="16" spans="1:15" ht="22" customHeight="1">
      <c r="A16" s="544"/>
      <c r="B16" s="376" t="s">
        <v>26</v>
      </c>
      <c r="C16" s="375">
        <f>ROUNDUP(PMT(系数参数!B2/12,60,-$B$9)-H16/60,2)</f>
        <v>3800.88</v>
      </c>
      <c r="D16" s="243">
        <f>C16*60-B9</f>
        <v>28052.800000000017</v>
      </c>
      <c r="E16" s="244">
        <f>RATE(60,-C16,B9)*12</f>
        <v>5.2900356063128463E-2</v>
      </c>
      <c r="F16" s="244">
        <f>D16/B9/5</f>
        <v>2.8052800000000017E-2</v>
      </c>
      <c r="G16" s="244">
        <f>D16/$B$9</f>
        <v>0.14026400000000008</v>
      </c>
      <c r="H16" s="245">
        <f>$B$9*VLOOKUP(B16,系数参数!$B$4:$D$8,3,0)</f>
        <v>3885.4</v>
      </c>
      <c r="I16" s="379">
        <v>30000</v>
      </c>
      <c r="J16" s="563" t="s">
        <v>419</v>
      </c>
      <c r="L16" s="13" t="s">
        <v>29</v>
      </c>
      <c r="M16" s="530">
        <f>B9-(C16*M15-M18)</f>
        <v>126269.67055868969</v>
      </c>
      <c r="N16" s="530"/>
      <c r="O16" s="14"/>
    </row>
    <row r="17" spans="1:15" ht="22" customHeight="1">
      <c r="A17" s="544"/>
      <c r="B17" s="376" t="s">
        <v>28</v>
      </c>
      <c r="C17" s="375">
        <f>ROUNDUP(PMT(系数参数!B2/12,48,-$B$9)-H17/48,2)</f>
        <v>4604.96</v>
      </c>
      <c r="D17" s="243">
        <f>C17*48-B9</f>
        <v>21038.080000000016</v>
      </c>
      <c r="E17" s="244">
        <f>RATE(48,-C17,B9)*12</f>
        <v>4.9900795975167757E-2</v>
      </c>
      <c r="F17" s="244">
        <f>D17/B9/4</f>
        <v>2.6297600000000022E-2</v>
      </c>
      <c r="G17" s="244">
        <f t="shared" ref="G17:G20" si="0">D17/$B$9</f>
        <v>0.10519040000000009</v>
      </c>
      <c r="H17" s="245">
        <f>$B$9*VLOOKUP(B17,系数参数!$B$4:$D$8,3,0)</f>
        <v>4374.6000000000004</v>
      </c>
      <c r="I17" s="379">
        <v>30000</v>
      </c>
      <c r="J17" s="563"/>
      <c r="L17" s="15" t="s">
        <v>31</v>
      </c>
      <c r="M17" s="531">
        <f>D16-M18</f>
        <v>10562.009441310336</v>
      </c>
      <c r="N17" s="531"/>
      <c r="O17" s="14"/>
    </row>
    <row r="18" spans="1:15" ht="22" customHeight="1">
      <c r="A18" s="544"/>
      <c r="B18" s="376" t="s">
        <v>30</v>
      </c>
      <c r="C18" s="375">
        <f>ROUNDUP(PMT(系数参数!B2/12,36,-$B$9)-H18/36,2)</f>
        <v>5993.29</v>
      </c>
      <c r="D18" s="243">
        <f>C18*36-B9</f>
        <v>15758.440000000002</v>
      </c>
      <c r="E18" s="244">
        <f>RATE(36,-C18,B9)*12</f>
        <v>4.9900945920979434E-2</v>
      </c>
      <c r="F18" s="244">
        <f>D18/B9/3</f>
        <v>2.6264066666666669E-2</v>
      </c>
      <c r="G18" s="244">
        <f t="shared" si="0"/>
        <v>7.8792200000000007E-2</v>
      </c>
      <c r="H18" s="245">
        <f>$B$9*VLOOKUP(B18,系数参数!$B$4:$D$8,3,0)</f>
        <v>3247.2000000000003</v>
      </c>
      <c r="I18" s="379">
        <v>30000</v>
      </c>
      <c r="J18" s="563"/>
      <c r="L18" s="27" t="s">
        <v>44</v>
      </c>
      <c r="M18" s="537">
        <f>(B9*(E16/12)-C16)*((1+(E16/12))^(M15)-1)/(E16/12)+(C16)*M15</f>
        <v>17490.790558689681</v>
      </c>
      <c r="N18" s="537"/>
      <c r="O18" s="16"/>
    </row>
    <row r="19" spans="1:15" ht="22" customHeight="1">
      <c r="A19" s="544"/>
      <c r="B19" s="376" t="s">
        <v>1</v>
      </c>
      <c r="C19" s="375">
        <f>ROUNDUP(PMT(系数参数!B2/12,24,-$B$9)-H19/24,2)</f>
        <v>8684.09</v>
      </c>
      <c r="D19" s="243">
        <f>C19*24-B9</f>
        <v>8418.1600000000035</v>
      </c>
      <c r="E19" s="244">
        <f>RATE(24,-C19,B9)*12</f>
        <v>3.9899518883058052E-2</v>
      </c>
      <c r="F19" s="244">
        <f>D19/B9/2</f>
        <v>2.1045400000000009E-2</v>
      </c>
      <c r="G19" s="244">
        <f t="shared" si="0"/>
        <v>4.2090800000000018E-2</v>
      </c>
      <c r="H19" s="245">
        <f>$B$9*VLOOKUP(B19,系数参数!$B$4:$D$8,3,0)</f>
        <v>4299.2</v>
      </c>
      <c r="I19" s="379">
        <v>30000</v>
      </c>
      <c r="J19" s="563"/>
      <c r="L19" s="27"/>
      <c r="M19" s="237"/>
      <c r="N19" s="237"/>
      <c r="O19" s="16"/>
    </row>
    <row r="20" spans="1:15" ht="22" customHeight="1">
      <c r="A20" s="544"/>
      <c r="B20" s="397" t="s">
        <v>0</v>
      </c>
      <c r="C20" s="398">
        <f>ROUNDUP(PMT(系数参数!B2/12,12,-$B$9)-H20/12,2)</f>
        <v>17212.37</v>
      </c>
      <c r="D20" s="399">
        <f>C20*12-B9</f>
        <v>6548.4400000000023</v>
      </c>
      <c r="E20" s="400">
        <f>RATE(12,-C20,B9)*12</f>
        <v>5.990036006255664E-2</v>
      </c>
      <c r="F20" s="400">
        <f>D20/B9/1</f>
        <v>3.2742200000000013E-2</v>
      </c>
      <c r="G20" s="400">
        <f t="shared" si="0"/>
        <v>3.2742200000000013E-2</v>
      </c>
      <c r="H20" s="401">
        <f>$B$9*VLOOKUP(B20,系数参数!$B$4:$D$8,3,0)</f>
        <v>0</v>
      </c>
      <c r="I20" s="402">
        <v>30000</v>
      </c>
      <c r="J20" s="563"/>
      <c r="L20" s="27"/>
      <c r="M20" s="237"/>
      <c r="N20" s="237"/>
      <c r="O20" s="16"/>
    </row>
    <row r="22" spans="1:15">
      <c r="A22" s="46"/>
      <c r="B22" s="31"/>
      <c r="C22" s="47"/>
      <c r="D22" s="47"/>
      <c r="E22" s="48"/>
      <c r="F22" s="48"/>
      <c r="G22" s="48"/>
      <c r="H22" s="49"/>
      <c r="I22" s="50"/>
      <c r="J22" s="50"/>
    </row>
    <row r="23" spans="1:15">
      <c r="A23" s="19" t="s">
        <v>37</v>
      </c>
      <c r="B23" s="19" t="s">
        <v>46</v>
      </c>
      <c r="C23" s="19" t="s">
        <v>21</v>
      </c>
      <c r="D23" s="12" t="s">
        <v>22</v>
      </c>
      <c r="E23" s="232" t="s">
        <v>368</v>
      </c>
      <c r="F23" s="233">
        <v>0.2</v>
      </c>
      <c r="G23" s="48"/>
      <c r="H23" s="49"/>
      <c r="I23" s="50"/>
      <c r="J23" s="50"/>
    </row>
    <row r="24" spans="1:15" ht="21" customHeight="1">
      <c r="A24" s="522" t="s">
        <v>58</v>
      </c>
      <c r="B24" s="458">
        <v>100000</v>
      </c>
      <c r="C24" s="231">
        <f>B8-B24</f>
        <v>165900</v>
      </c>
      <c r="D24" s="30">
        <f>C24/B8</f>
        <v>0.62391876645355393</v>
      </c>
      <c r="E24" s="232" t="s">
        <v>23</v>
      </c>
      <c r="F24" s="234"/>
      <c r="G24" s="48"/>
      <c r="H24" s="49"/>
      <c r="I24" s="50"/>
      <c r="J24" s="50"/>
    </row>
    <row r="25" spans="1:15" ht="33.5">
      <c r="A25" s="523"/>
      <c r="B25" s="11" t="s">
        <v>24</v>
      </c>
      <c r="C25" s="21" t="s">
        <v>25</v>
      </c>
      <c r="D25" s="25" t="s">
        <v>62</v>
      </c>
      <c r="E25" s="23" t="s">
        <v>40</v>
      </c>
      <c r="F25" s="24" t="s">
        <v>41</v>
      </c>
      <c r="G25" s="29" t="s">
        <v>50</v>
      </c>
      <c r="H25" s="36" t="s">
        <v>42</v>
      </c>
      <c r="I25" s="559" t="s">
        <v>397</v>
      </c>
      <c r="J25" s="560"/>
    </row>
    <row r="26" spans="1:15" ht="44.5" customHeight="1">
      <c r="A26" s="524"/>
      <c r="B26" s="22" t="s">
        <v>32</v>
      </c>
      <c r="C26" s="43">
        <f>ROUNDUP(PMT(系数参数!B2/12,24,-B24)-H26/24,2)</f>
        <v>4209.7800000000007</v>
      </c>
      <c r="D26" s="432">
        <f>C26*24-B24</f>
        <v>1034.7200000000157</v>
      </c>
      <c r="E26" s="433">
        <f>RATE(24,-C26,B24)*12</f>
        <v>9.9020036958268783E-3</v>
      </c>
      <c r="F26" s="433">
        <f>D26/B24/2</f>
        <v>5.1736000000000785E-3</v>
      </c>
      <c r="G26" s="433">
        <f>D26/B24</f>
        <v>1.0347200000000157E-2</v>
      </c>
      <c r="H26" s="434">
        <f>系数参数!D16</f>
        <v>5324.15</v>
      </c>
      <c r="I26" s="561" t="s">
        <v>461</v>
      </c>
      <c r="J26" s="562"/>
    </row>
    <row r="27" spans="1:15">
      <c r="B27" s="33"/>
      <c r="C27" s="33"/>
      <c r="D27" s="33"/>
      <c r="E27" s="33"/>
      <c r="F27" s="33"/>
      <c r="G27" s="33"/>
      <c r="H27" s="33"/>
      <c r="I27" s="33"/>
      <c r="J27" s="33"/>
    </row>
    <row r="29" spans="1:15" ht="28">
      <c r="A29" s="19" t="s">
        <v>47</v>
      </c>
      <c r="B29" s="37" t="s">
        <v>66</v>
      </c>
      <c r="C29" s="19" t="s">
        <v>21</v>
      </c>
      <c r="D29" s="12" t="s">
        <v>22</v>
      </c>
    </row>
    <row r="30" spans="1:15" ht="16.5" customHeight="1">
      <c r="A30" s="544" t="s">
        <v>404</v>
      </c>
      <c r="B30" s="388">
        <f>B8*50%</f>
        <v>132950</v>
      </c>
      <c r="C30" s="389">
        <f>B8-B30</f>
        <v>132950</v>
      </c>
      <c r="D30" s="429">
        <f>C30/B8</f>
        <v>0.5</v>
      </c>
    </row>
    <row r="31" spans="1:15" ht="33.5" customHeight="1">
      <c r="A31" s="544"/>
      <c r="B31" s="19" t="s">
        <v>24</v>
      </c>
      <c r="C31" s="21" t="s">
        <v>25</v>
      </c>
      <c r="D31" s="25" t="s">
        <v>62</v>
      </c>
      <c r="E31" s="25" t="s">
        <v>40</v>
      </c>
      <c r="F31" s="25" t="s">
        <v>41</v>
      </c>
      <c r="G31" s="382" t="s">
        <v>50</v>
      </c>
      <c r="H31" s="36" t="s">
        <v>42</v>
      </c>
      <c r="I31" s="554" t="s">
        <v>398</v>
      </c>
      <c r="J31" s="554"/>
    </row>
    <row r="32" spans="1:15" ht="24.5" customHeight="1">
      <c r="A32" s="544"/>
      <c r="B32" s="12" t="s">
        <v>129</v>
      </c>
      <c r="C32" s="43">
        <f>ROUNDUP(PMT(系数参数!B2/12,12,-B30,C34)-H32/12,2)</f>
        <v>331.27</v>
      </c>
      <c r="D32" s="555">
        <f>C32*12</f>
        <v>3975.24</v>
      </c>
      <c r="E32" s="556">
        <f>RATE(12,-C32,B30,-C34)*12</f>
        <v>2.9900263257416036E-2</v>
      </c>
      <c r="F32" s="556">
        <f>D32/B30/1</f>
        <v>2.9900263256863482E-2</v>
      </c>
      <c r="G32" s="556">
        <f>D32/B30</f>
        <v>2.9900263256863482E-2</v>
      </c>
      <c r="H32" s="557">
        <f>B30*VLOOKUP(B32,系数参数!$B$9:$D$10,3,0)</f>
        <v>3988.5</v>
      </c>
      <c r="I32" s="550" t="s">
        <v>410</v>
      </c>
      <c r="J32" s="551"/>
    </row>
    <row r="33" spans="1:10" ht="24.5" customHeight="1">
      <c r="A33" s="544"/>
      <c r="B33" s="408" t="s">
        <v>400</v>
      </c>
      <c r="C33" s="43">
        <f>B30+C32</f>
        <v>133281.26999999999</v>
      </c>
      <c r="D33" s="555"/>
      <c r="E33" s="556"/>
      <c r="F33" s="556"/>
      <c r="G33" s="556"/>
      <c r="H33" s="557"/>
      <c r="I33" s="552"/>
      <c r="J33" s="553"/>
    </row>
    <row r="34" spans="1:10">
      <c r="C34" s="387">
        <f>B30</f>
        <v>132950</v>
      </c>
    </row>
    <row r="35" spans="1:10">
      <c r="C35" s="387"/>
    </row>
    <row r="36" spans="1:10" ht="28.5" customHeight="1">
      <c r="A36" s="19" t="s">
        <v>56</v>
      </c>
      <c r="B36" s="37" t="s">
        <v>253</v>
      </c>
      <c r="C36" s="19" t="s">
        <v>21</v>
      </c>
      <c r="D36" s="12" t="s">
        <v>329</v>
      </c>
      <c r="F36" s="40"/>
    </row>
    <row r="37" spans="1:10" ht="30.5" customHeight="1">
      <c r="A37" s="544" t="s">
        <v>60</v>
      </c>
      <c r="B37" s="51">
        <f>B8-C37</f>
        <v>212720</v>
      </c>
      <c r="C37" s="231">
        <f>B8*D37</f>
        <v>53180</v>
      </c>
      <c r="D37" s="390">
        <v>0.2</v>
      </c>
    </row>
    <row r="38" spans="1:10" ht="33" customHeight="1">
      <c r="A38" s="544"/>
      <c r="B38" s="19" t="s">
        <v>24</v>
      </c>
      <c r="C38" s="21" t="s">
        <v>25</v>
      </c>
      <c r="D38" s="37" t="s">
        <v>39</v>
      </c>
      <c r="E38" s="25" t="s">
        <v>40</v>
      </c>
      <c r="F38" s="25" t="s">
        <v>41</v>
      </c>
      <c r="G38" s="382" t="s">
        <v>50</v>
      </c>
      <c r="H38" s="36" t="s">
        <v>42</v>
      </c>
      <c r="I38" s="554" t="s">
        <v>398</v>
      </c>
      <c r="J38" s="554"/>
    </row>
    <row r="39" spans="1:10" ht="21" customHeight="1">
      <c r="A39" s="544"/>
      <c r="B39" s="12" t="s">
        <v>403</v>
      </c>
      <c r="C39" s="43">
        <f>ROUNDUP(PMT(系数参数!B2/12,36,-B37,C41)-H39/36,2)</f>
        <v>4428.25</v>
      </c>
      <c r="D39" s="555">
        <f>C39*36-(B37-C41)</f>
        <v>26467</v>
      </c>
      <c r="E39" s="556">
        <f>RATE(36,-C39,B37,-C41)*12</f>
        <v>5.8800414791991523E-2</v>
      </c>
      <c r="F39" s="556">
        <f>D39/B37/3</f>
        <v>4.1473925034474113E-2</v>
      </c>
      <c r="G39" s="556">
        <f>D39/B37</f>
        <v>0.12442177510342234</v>
      </c>
      <c r="H39" s="557">
        <f>B37*VLOOKUP(D37,系数参数!B10:D11,3,0)</f>
        <v>501.80648000000002</v>
      </c>
      <c r="I39" s="558" t="s">
        <v>411</v>
      </c>
      <c r="J39" s="558"/>
    </row>
    <row r="40" spans="1:10" ht="21" customHeight="1">
      <c r="A40" s="544"/>
      <c r="B40" s="408" t="s">
        <v>402</v>
      </c>
      <c r="C40" s="43">
        <f>B8*30%+C39</f>
        <v>84198.25</v>
      </c>
      <c r="D40" s="555"/>
      <c r="E40" s="556"/>
      <c r="F40" s="556"/>
      <c r="G40" s="556"/>
      <c r="H40" s="557"/>
      <c r="I40" s="558"/>
      <c r="J40" s="558"/>
    </row>
    <row r="41" spans="1:10">
      <c r="C41" s="270">
        <f>B8*30%</f>
        <v>79770</v>
      </c>
    </row>
    <row r="43" spans="1:10">
      <c r="A43" s="19" t="s">
        <v>57</v>
      </c>
      <c r="B43" s="12" t="s">
        <v>22</v>
      </c>
      <c r="C43" s="19" t="s">
        <v>21</v>
      </c>
      <c r="D43" s="227" t="s">
        <v>367</v>
      </c>
      <c r="E43" s="236">
        <v>0.19989999999999999</v>
      </c>
    </row>
    <row r="44" spans="1:10">
      <c r="A44" s="544" t="s">
        <v>54</v>
      </c>
      <c r="B44" s="433">
        <f>C44/B6</f>
        <v>0.24783753290710794</v>
      </c>
      <c r="C44" s="231">
        <f>B6-B9</f>
        <v>65900</v>
      </c>
    </row>
    <row r="45" spans="1:10" ht="33.5">
      <c r="A45" s="549"/>
      <c r="B45" s="11" t="s">
        <v>24</v>
      </c>
      <c r="C45" s="21" t="s">
        <v>25</v>
      </c>
      <c r="D45" s="25" t="s">
        <v>62</v>
      </c>
      <c r="E45" s="23" t="s">
        <v>40</v>
      </c>
      <c r="F45" s="24" t="s">
        <v>41</v>
      </c>
      <c r="G45" s="29" t="s">
        <v>50</v>
      </c>
      <c r="H45" s="36" t="s">
        <v>42</v>
      </c>
      <c r="I45" s="26" t="s">
        <v>43</v>
      </c>
      <c r="J45" s="431" t="s">
        <v>398</v>
      </c>
    </row>
    <row r="46" spans="1:10" ht="25.5" customHeight="1">
      <c r="A46" s="549"/>
      <c r="B46" s="22" t="s">
        <v>32</v>
      </c>
      <c r="C46" s="43">
        <f>ROUNDUP(PMT(系数参数!B19/12,24,-$B$9)-H46/24,2)</f>
        <v>8684.1</v>
      </c>
      <c r="D46" s="432">
        <f>C46*24-B9</f>
        <v>8418.4000000000233</v>
      </c>
      <c r="E46" s="433">
        <f>RATE(24,-C46,B9)*12</f>
        <v>3.9900642321954422E-2</v>
      </c>
      <c r="F46" s="433">
        <f>D46/B9/2</f>
        <v>2.1046000000000058E-2</v>
      </c>
      <c r="G46" s="433">
        <f>D46/$B$9</f>
        <v>4.2092000000000115E-2</v>
      </c>
      <c r="H46" s="434">
        <f>$B$9*VLOOKUP(B46,系数参数!$B$20:$D$21,3,0)</f>
        <v>4299</v>
      </c>
      <c r="I46" s="431">
        <v>30000</v>
      </c>
      <c r="J46" s="291" t="s">
        <v>430</v>
      </c>
    </row>
    <row r="47" spans="1:10" ht="25.5" customHeight="1">
      <c r="A47" s="549"/>
      <c r="B47" s="430" t="s">
        <v>38</v>
      </c>
      <c r="C47" s="43">
        <f>ROUNDUP(PMT(系数参数!B19/12,12,-$B$9)-H47/12,2)</f>
        <v>16937.84</v>
      </c>
      <c r="D47" s="432">
        <f>C47*12-B9</f>
        <v>3254.0800000000163</v>
      </c>
      <c r="E47" s="433">
        <f>RATE(12,-C47,B9)*12</f>
        <v>2.9901237315676163E-2</v>
      </c>
      <c r="F47" s="433">
        <f>D47/B9/1</f>
        <v>1.6270400000000081E-2</v>
      </c>
      <c r="G47" s="433">
        <f>D47/$B$9</f>
        <v>1.6270400000000081E-2</v>
      </c>
      <c r="H47" s="434">
        <f>$B$9*VLOOKUP(B47,系数参数!$B$20:$D$21,3,0)</f>
        <v>3294.4</v>
      </c>
      <c r="I47" s="431">
        <v>150000</v>
      </c>
      <c r="J47" s="435" t="s">
        <v>431</v>
      </c>
    </row>
    <row r="48" spans="1:10" ht="22" customHeight="1">
      <c r="A48" s="47"/>
      <c r="B48" s="47"/>
      <c r="C48" s="47"/>
      <c r="D48" s="47"/>
      <c r="E48" s="48"/>
      <c r="F48" s="48"/>
      <c r="G48" s="48"/>
      <c r="H48" s="49"/>
      <c r="I48" s="50"/>
      <c r="J48" s="230"/>
    </row>
  </sheetData>
  <sheetProtection algorithmName="SHA-512" hashValue="HskjwWKrvB34zN5KkKoAs/yVRKVUs4Zuv3w5fYhTMWsYvP472833Qs8YwgfRKomlmlGkFrcn5XX7l+dCly/Vmw==" saltValue="eUkoEUK/VhqFuFvxutjHmg==" spinCount="100000" sheet="1" objects="1" scenarios="1"/>
  <mergeCells count="35">
    <mergeCell ref="B3:C3"/>
    <mergeCell ref="B4:C4"/>
    <mergeCell ref="B5:C5"/>
    <mergeCell ref="B6:C6"/>
    <mergeCell ref="F6:J9"/>
    <mergeCell ref="B7:C7"/>
    <mergeCell ref="B8:C8"/>
    <mergeCell ref="D8:E8"/>
    <mergeCell ref="B9:C9"/>
    <mergeCell ref="A14:A20"/>
    <mergeCell ref="M15:N15"/>
    <mergeCell ref="J16:J20"/>
    <mergeCell ref="M16:N16"/>
    <mergeCell ref="M17:N17"/>
    <mergeCell ref="M18:N18"/>
    <mergeCell ref="A24:A26"/>
    <mergeCell ref="I25:J25"/>
    <mergeCell ref="I26:J26"/>
    <mergeCell ref="A30:A33"/>
    <mergeCell ref="I31:J31"/>
    <mergeCell ref="D32:D33"/>
    <mergeCell ref="E32:E33"/>
    <mergeCell ref="F32:F33"/>
    <mergeCell ref="G32:G33"/>
    <mergeCell ref="H32:H33"/>
    <mergeCell ref="A44:A47"/>
    <mergeCell ref="I32:J33"/>
    <mergeCell ref="A37:A40"/>
    <mergeCell ref="I38:J38"/>
    <mergeCell ref="D39:D40"/>
    <mergeCell ref="E39:E40"/>
    <mergeCell ref="F39:F40"/>
    <mergeCell ref="G39:G40"/>
    <mergeCell ref="H39:H40"/>
    <mergeCell ref="I39:J40"/>
  </mergeCells>
  <phoneticPr fontId="5" type="noConversion"/>
  <conditionalFormatting sqref="B32 B39">
    <cfRule type="expression" dxfId="92" priority="12">
      <formula>$B$17&lt;#REF!</formula>
    </cfRule>
  </conditionalFormatting>
  <conditionalFormatting sqref="B16:G16">
    <cfRule type="expression" dxfId="91" priority="4">
      <formula>$B$9&lt;$I$16</formula>
    </cfRule>
  </conditionalFormatting>
  <conditionalFormatting sqref="B17:G17">
    <cfRule type="expression" dxfId="90" priority="3">
      <formula>$B$9&lt;$I$17</formula>
    </cfRule>
  </conditionalFormatting>
  <conditionalFormatting sqref="B18:G20">
    <cfRule type="expression" dxfId="89" priority="2">
      <formula>$B$9&lt;$I$18</formula>
    </cfRule>
  </conditionalFormatting>
  <conditionalFormatting sqref="B46:G47">
    <cfRule type="expression" dxfId="88" priority="7">
      <formula>$B$44&gt;$E$43</formula>
    </cfRule>
  </conditionalFormatting>
  <conditionalFormatting sqref="D13:E13">
    <cfRule type="expression" dxfId="87" priority="11">
      <formula>$B$14&lt;$E$13</formula>
    </cfRule>
  </conditionalFormatting>
  <conditionalFormatting sqref="D14:E14">
    <cfRule type="expression" dxfId="86" priority="1">
      <formula>$B$14&lt;30%</formula>
    </cfRule>
  </conditionalFormatting>
  <conditionalFormatting sqref="D43:E43">
    <cfRule type="expression" dxfId="85" priority="8">
      <formula>$B$44&gt;$E$43</formula>
    </cfRule>
  </conditionalFormatting>
  <conditionalFormatting sqref="E24">
    <cfRule type="expression" dxfId="84" priority="10">
      <formula>$D$24&lt;30%</formula>
    </cfRule>
  </conditionalFormatting>
  <conditionalFormatting sqref="E23:F23">
    <cfRule type="expression" dxfId="83" priority="9">
      <formula>$D$24&lt;$F$23</formula>
    </cfRule>
  </conditionalFormatting>
  <conditionalFormatting sqref="I16:I19">
    <cfRule type="expression" dxfId="82" priority="6">
      <formula>$B$9&lt;$I$16</formula>
    </cfRule>
  </conditionalFormatting>
  <conditionalFormatting sqref="I20">
    <cfRule type="expression" dxfId="81" priority="5">
      <formula>$B$9&lt;$I$18</formula>
    </cfRule>
  </conditionalFormatting>
  <dataValidations count="2">
    <dataValidation type="list" allowBlank="1" showInputMessage="1" showErrorMessage="1" sqref="C4 B4" xr:uid="{BC141B51-A6D4-4067-BDA3-C1CD2D06CEFF}">
      <formula1>新CT6_</formula1>
    </dataValidation>
    <dataValidation type="list" allowBlank="1" showInputMessage="1" showErrorMessage="1" sqref="D37" xr:uid="{D857B9D4-82A3-47FA-87CC-17CDC2ABAEC6}">
      <formula1>"20%,30%"</formula1>
    </dataValidation>
  </dataValidations>
  <hyperlinks>
    <hyperlink ref="J1" location="试算路径及方案简述!A1" display="返回" xr:uid="{D037B464-E1B9-40F0-A42A-DC16FF8692AE}"/>
  </hyperlinks>
  <pageMargins left="0.7" right="0.7" top="0.75" bottom="0.75" header="0.3" footer="0.3"/>
  <pageSetup paperSize="9" orientation="portrait" horizontalDpi="300" verticalDpi="0" copies="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sheetPr>
  <dimension ref="A1:O54"/>
  <sheetViews>
    <sheetView showGridLines="0" zoomScale="60" zoomScaleNormal="60" workbookViewId="0">
      <pane ySplit="12" topLeftCell="A13" activePane="bottomLeft" state="frozen"/>
      <selection pane="bottomLeft" activeCell="D4" sqref="D4"/>
    </sheetView>
  </sheetViews>
  <sheetFormatPr defaultColWidth="8.6640625" defaultRowHeight="16.5"/>
  <cols>
    <col min="1" max="1" width="19.6640625" style="39" customWidth="1"/>
    <col min="2" max="2" width="16.08203125" style="39" customWidth="1"/>
    <col min="3" max="3" width="18.58203125" style="39" customWidth="1"/>
    <col min="4" max="4" width="17.6640625" style="39" customWidth="1"/>
    <col min="5" max="5" width="15.83203125" style="39" customWidth="1"/>
    <col min="6" max="9" width="11.08203125" style="39" customWidth="1"/>
    <col min="10" max="10" width="73.9140625" style="39" customWidth="1"/>
    <col min="11" max="11" width="10.9140625" style="39" customWidth="1"/>
    <col min="12" max="14" width="8.6640625" style="39"/>
    <col min="15" max="15" width="14.25" style="39" customWidth="1"/>
    <col min="16" max="16384" width="8.6640625" style="39"/>
  </cols>
  <sheetData>
    <row r="1" spans="1:15" ht="19.5" customHeight="1">
      <c r="J1" s="260" t="s">
        <v>68</v>
      </c>
    </row>
    <row r="2" spans="1:15">
      <c r="A2" s="17" t="s">
        <v>33</v>
      </c>
    </row>
    <row r="3" spans="1:15" ht="23.5" customHeight="1">
      <c r="A3" s="408" t="s">
        <v>17</v>
      </c>
      <c r="B3" s="542" t="s">
        <v>474</v>
      </c>
      <c r="C3" s="542"/>
    </row>
    <row r="4" spans="1:15" ht="23.5" customHeight="1">
      <c r="A4" s="408" t="s">
        <v>421</v>
      </c>
      <c r="B4" s="538" t="s">
        <v>475</v>
      </c>
      <c r="C4" s="539"/>
    </row>
    <row r="5" spans="1:15" ht="23" customHeight="1">
      <c r="A5" s="408" t="s">
        <v>420</v>
      </c>
      <c r="B5" s="540">
        <f>VLOOKUP(B4,'厂贴车型明细&amp;贷款金额说明'!E9:F62,2,0)</f>
        <v>275700</v>
      </c>
      <c r="C5" s="541"/>
    </row>
    <row r="6" spans="1:15" ht="22" customHeight="1">
      <c r="A6" s="7" t="s">
        <v>64</v>
      </c>
      <c r="B6" s="543">
        <v>265900</v>
      </c>
      <c r="C6" s="543"/>
      <c r="F6" s="536" t="s">
        <v>254</v>
      </c>
      <c r="G6" s="536"/>
      <c r="H6" s="536"/>
      <c r="I6" s="536"/>
      <c r="J6" s="536"/>
    </row>
    <row r="7" spans="1:15" ht="22" customHeight="1">
      <c r="A7" s="7" t="s">
        <v>18</v>
      </c>
      <c r="B7" s="543">
        <v>0</v>
      </c>
      <c r="C7" s="543"/>
      <c r="F7" s="536"/>
      <c r="G7" s="536"/>
      <c r="H7" s="536"/>
      <c r="I7" s="536"/>
      <c r="J7" s="536"/>
    </row>
    <row r="8" spans="1:15" ht="22" customHeight="1">
      <c r="A8" s="8" t="s">
        <v>19</v>
      </c>
      <c r="B8" s="532">
        <f>B6+B7</f>
        <v>265900</v>
      </c>
      <c r="C8" s="532"/>
      <c r="D8" s="547" t="s">
        <v>325</v>
      </c>
      <c r="E8" s="548"/>
      <c r="F8" s="536"/>
      <c r="G8" s="536"/>
      <c r="H8" s="536"/>
      <c r="I8" s="536"/>
      <c r="J8" s="536"/>
    </row>
    <row r="9" spans="1:15" ht="22" customHeight="1">
      <c r="A9" s="7" t="s">
        <v>20</v>
      </c>
      <c r="B9" s="543">
        <v>265900</v>
      </c>
      <c r="C9" s="543"/>
      <c r="F9" s="536"/>
      <c r="G9" s="536"/>
      <c r="H9" s="536"/>
      <c r="I9" s="536"/>
      <c r="J9" s="536"/>
    </row>
    <row r="10" spans="1:15" ht="3" customHeight="1"/>
    <row r="11" spans="1:15" ht="12.5" customHeight="1"/>
    <row r="12" spans="1:15">
      <c r="A12" s="18" t="s">
        <v>34</v>
      </c>
    </row>
    <row r="13" spans="1:15">
      <c r="A13" s="248" t="s">
        <v>36</v>
      </c>
      <c r="B13" s="255" t="s">
        <v>22</v>
      </c>
      <c r="C13" s="19" t="s">
        <v>21</v>
      </c>
      <c r="D13" s="326" t="s">
        <v>368</v>
      </c>
      <c r="E13" s="233">
        <v>0.2</v>
      </c>
    </row>
    <row r="14" spans="1:15" ht="16.5" customHeight="1">
      <c r="A14" s="544" t="s">
        <v>53</v>
      </c>
      <c r="B14" s="41">
        <f>C14/B8</f>
        <v>0</v>
      </c>
      <c r="C14" s="373">
        <f>B8-B9</f>
        <v>0</v>
      </c>
      <c r="D14" s="232" t="s">
        <v>23</v>
      </c>
      <c r="E14" s="235"/>
      <c r="M14" s="83" t="s">
        <v>107</v>
      </c>
      <c r="N14" s="9"/>
      <c r="O14" s="9"/>
    </row>
    <row r="15" spans="1:15" ht="33.5">
      <c r="A15" s="544"/>
      <c r="B15" s="19" t="s">
        <v>24</v>
      </c>
      <c r="C15" s="374" t="s">
        <v>25</v>
      </c>
      <c r="D15" s="249" t="s">
        <v>62</v>
      </c>
      <c r="E15" s="250" t="s">
        <v>40</v>
      </c>
      <c r="F15" s="251" t="s">
        <v>41</v>
      </c>
      <c r="G15" s="252" t="s">
        <v>50</v>
      </c>
      <c r="H15" s="253" t="s">
        <v>42</v>
      </c>
      <c r="I15" s="254" t="s">
        <v>43</v>
      </c>
      <c r="J15" s="380" t="s">
        <v>398</v>
      </c>
      <c r="L15" s="13" t="s">
        <v>27</v>
      </c>
      <c r="M15" s="525">
        <v>24</v>
      </c>
      <c r="N15" s="525"/>
      <c r="O15" s="212" t="s">
        <v>45</v>
      </c>
    </row>
    <row r="16" spans="1:15" ht="22" customHeight="1">
      <c r="A16" s="544"/>
      <c r="B16" s="376" t="s">
        <v>26</v>
      </c>
      <c r="C16" s="375">
        <f>ROUNDUP(PMT(系数参数!B2/12,60,-$B$9)-H16/60,2)</f>
        <v>5053.2700000000004</v>
      </c>
      <c r="D16" s="243">
        <f>C16*60-B9</f>
        <v>37296.200000000012</v>
      </c>
      <c r="E16" s="244">
        <f>RATE(60,-C16,B9)*12</f>
        <v>5.290035933246643E-2</v>
      </c>
      <c r="F16" s="244">
        <f>D16/B9/5</f>
        <v>2.8052801805189931E-2</v>
      </c>
      <c r="G16" s="244">
        <f>D16/$B$9</f>
        <v>0.14026400902594965</v>
      </c>
      <c r="H16" s="245">
        <f>$B$9*VLOOKUP(B16,系数参数!$B$4:$D$8,3,0)</f>
        <v>5165.6392999999998</v>
      </c>
      <c r="I16" s="379">
        <v>30000</v>
      </c>
      <c r="J16" s="563" t="s">
        <v>419</v>
      </c>
      <c r="L16" s="13" t="s">
        <v>29</v>
      </c>
      <c r="M16" s="530">
        <f>B9-(C16*M15-M18)</f>
        <v>167875.52751581604</v>
      </c>
      <c r="N16" s="530"/>
      <c r="O16" s="14"/>
    </row>
    <row r="17" spans="1:15" ht="22" customHeight="1">
      <c r="A17" s="544"/>
      <c r="B17" s="376" t="s">
        <v>28</v>
      </c>
      <c r="C17" s="375">
        <f>ROUNDUP(PMT(系数参数!B2/12,48,-$B$9)-H17/48,2)</f>
        <v>6122.29</v>
      </c>
      <c r="D17" s="243">
        <f>C17*48-B9</f>
        <v>27969.919999999984</v>
      </c>
      <c r="E17" s="244">
        <f>RATE(48,-C17,B9)*12</f>
        <v>4.9900437276832597E-2</v>
      </c>
      <c r="F17" s="244">
        <f>D17/B9/4</f>
        <v>2.6297405039488513E-2</v>
      </c>
      <c r="G17" s="244">
        <f t="shared" ref="G17:G18" si="0">D17/$B$9</f>
        <v>0.10518962015795405</v>
      </c>
      <c r="H17" s="245">
        <f>$B$9*VLOOKUP(B17,系数参数!$B$4:$D$8,3,0)</f>
        <v>5816.0307000000003</v>
      </c>
      <c r="I17" s="379">
        <v>30000</v>
      </c>
      <c r="J17" s="563"/>
      <c r="L17" s="15" t="s">
        <v>31</v>
      </c>
      <c r="M17" s="531">
        <f>D16-M18</f>
        <v>14042.192484183965</v>
      </c>
      <c r="N17" s="531"/>
      <c r="O17" s="14"/>
    </row>
    <row r="18" spans="1:15" ht="22" customHeight="1">
      <c r="A18" s="544"/>
      <c r="B18" s="376" t="s">
        <v>30</v>
      </c>
      <c r="C18" s="375">
        <f>ROUNDUP(PMT(系数参数!B2/12,36,-$B$9)-H18/36,2)</f>
        <v>7968.0700000000006</v>
      </c>
      <c r="D18" s="243">
        <f>C18*36-B9</f>
        <v>20950.520000000019</v>
      </c>
      <c r="E18" s="244">
        <f>RATE(36,-C18,B9)*12</f>
        <v>4.9900187369515556E-2</v>
      </c>
      <c r="F18" s="244">
        <f>D18/B9/3</f>
        <v>2.6263658016798318E-2</v>
      </c>
      <c r="G18" s="244">
        <f t="shared" si="0"/>
        <v>7.8790974050394952E-2</v>
      </c>
      <c r="H18" s="245">
        <f>$B$9*VLOOKUP(B18,系数参数!$B$4:$D$8,3,0)</f>
        <v>4317.1523999999999</v>
      </c>
      <c r="I18" s="379">
        <v>30000</v>
      </c>
      <c r="J18" s="563"/>
      <c r="L18" s="27" t="s">
        <v>44</v>
      </c>
      <c r="M18" s="537">
        <f>(B9*(E16/12)-C16)*((1+(E16/12))^(M15)-1)/(E16/12)+(C16)*M15</f>
        <v>23254.007515816047</v>
      </c>
      <c r="N18" s="537"/>
      <c r="O18" s="16"/>
    </row>
    <row r="19" spans="1:15" ht="22" customHeight="1">
      <c r="A19" s="544"/>
      <c r="B19" s="376" t="s">
        <v>388</v>
      </c>
      <c r="C19" s="375">
        <f>ROUNDUP(PMT(系数参数!B2/12,24,-$B$9)-H19/24,2)</f>
        <v>11545.5</v>
      </c>
      <c r="D19" s="243">
        <f>C19*24-B9</f>
        <v>11192</v>
      </c>
      <c r="E19" s="244">
        <f>RATE(24,-C19,B9)*12</f>
        <v>3.9899717037616779E-2</v>
      </c>
      <c r="F19" s="244">
        <f>D19/B9/2</f>
        <v>2.1045505829259119E-2</v>
      </c>
      <c r="G19" s="244">
        <f t="shared" ref="G19:G20" si="1">D19/$B$9</f>
        <v>4.2091011658518238E-2</v>
      </c>
      <c r="H19" s="245">
        <f>$B$9*VLOOKUP(B19,系数参数!$B$4:$D$8,3,0)</f>
        <v>5715.7864</v>
      </c>
      <c r="I19" s="379">
        <v>30000</v>
      </c>
      <c r="J19" s="563"/>
      <c r="L19" s="27"/>
      <c r="M19" s="237"/>
      <c r="N19" s="237"/>
      <c r="O19" s="16"/>
    </row>
    <row r="20" spans="1:15" ht="22" customHeight="1">
      <c r="A20" s="544"/>
      <c r="B20" s="397" t="s">
        <v>389</v>
      </c>
      <c r="C20" s="398">
        <f>ROUNDUP(PMT(系数参数!B2/12,12,-$B$9)-H20/12,2)</f>
        <v>22883.85</v>
      </c>
      <c r="D20" s="399">
        <f>C20*12-B9</f>
        <v>8706.1999999999534</v>
      </c>
      <c r="E20" s="400">
        <f>RATE(12,-C20,B9)*12</f>
        <v>5.9900694315969186E-2</v>
      </c>
      <c r="F20" s="400">
        <f>D20/B9/1</f>
        <v>3.2742384355020512E-2</v>
      </c>
      <c r="G20" s="400">
        <f t="shared" si="1"/>
        <v>3.2742384355020512E-2</v>
      </c>
      <c r="H20" s="401">
        <f>$B$9*VLOOKUP(B20,系数参数!$B$4:$D$8,3,0)</f>
        <v>0</v>
      </c>
      <c r="I20" s="402">
        <v>30000</v>
      </c>
      <c r="J20" s="563"/>
      <c r="L20" s="27"/>
      <c r="M20" s="237"/>
      <c r="N20" s="237"/>
      <c r="O20" s="16"/>
    </row>
    <row r="22" spans="1:15">
      <c r="A22" s="46"/>
      <c r="B22" s="31"/>
      <c r="C22" s="47"/>
      <c r="D22" s="47"/>
      <c r="E22" s="48"/>
      <c r="F22" s="48"/>
      <c r="G22" s="48"/>
      <c r="H22" s="49"/>
      <c r="I22" s="50"/>
      <c r="J22" s="50"/>
    </row>
    <row r="23" spans="1:15">
      <c r="A23" s="19" t="s">
        <v>37</v>
      </c>
      <c r="B23" s="19" t="s">
        <v>46</v>
      </c>
      <c r="C23" s="19" t="s">
        <v>21</v>
      </c>
      <c r="D23" s="12" t="s">
        <v>22</v>
      </c>
      <c r="E23" s="232" t="s">
        <v>368</v>
      </c>
      <c r="F23" s="233">
        <v>0.2</v>
      </c>
      <c r="G23" s="48"/>
      <c r="H23" s="49"/>
      <c r="I23" s="50"/>
      <c r="J23" s="50"/>
    </row>
    <row r="24" spans="1:15" ht="21" customHeight="1">
      <c r="A24" s="522" t="s">
        <v>58</v>
      </c>
      <c r="B24" s="458">
        <v>120000</v>
      </c>
      <c r="C24" s="231">
        <f>B8-B24</f>
        <v>145900</v>
      </c>
      <c r="D24" s="30">
        <f>C24/B8</f>
        <v>0.54870251974426476</v>
      </c>
      <c r="E24" s="232" t="s">
        <v>23</v>
      </c>
      <c r="F24" s="234"/>
      <c r="G24" s="48"/>
      <c r="H24" s="49"/>
      <c r="I24" s="50"/>
      <c r="J24" s="50"/>
    </row>
    <row r="25" spans="1:15" ht="33.5">
      <c r="A25" s="523"/>
      <c r="B25" s="11" t="s">
        <v>24</v>
      </c>
      <c r="C25" s="21" t="s">
        <v>25</v>
      </c>
      <c r="D25" s="25" t="s">
        <v>62</v>
      </c>
      <c r="E25" s="23" t="s">
        <v>40</v>
      </c>
      <c r="F25" s="24" t="s">
        <v>41</v>
      </c>
      <c r="G25" s="29" t="s">
        <v>50</v>
      </c>
      <c r="H25" s="36" t="s">
        <v>42</v>
      </c>
      <c r="I25" s="559" t="s">
        <v>397</v>
      </c>
      <c r="J25" s="560"/>
    </row>
    <row r="26" spans="1:15" ht="44.5" customHeight="1">
      <c r="A26" s="524"/>
      <c r="B26" s="22" t="s">
        <v>38</v>
      </c>
      <c r="C26" s="43">
        <f>ROUNDUP(PMT(系数参数!B2/12,12,-B24)-H26/12,2)</f>
        <v>10053.68</v>
      </c>
      <c r="D26" s="44">
        <f>C26*12-B24</f>
        <v>644.16000000000349</v>
      </c>
      <c r="E26" s="41">
        <f>RATE(12,-C26,B24)*12</f>
        <v>9.8952007989532003E-3</v>
      </c>
      <c r="F26" s="41">
        <f>D26/B24/1</f>
        <v>5.368000000000029E-3</v>
      </c>
      <c r="G26" s="41">
        <f>D26/B24</f>
        <v>5.368000000000029E-3</v>
      </c>
      <c r="H26" s="45">
        <f>系数参数!D15</f>
        <v>3285</v>
      </c>
      <c r="I26" s="561" t="s">
        <v>415</v>
      </c>
      <c r="J26" s="562"/>
    </row>
    <row r="27" spans="1:15">
      <c r="B27" s="33"/>
      <c r="C27" s="33"/>
      <c r="D27" s="33"/>
      <c r="E27" s="33"/>
      <c r="F27" s="33"/>
      <c r="G27" s="33"/>
      <c r="H27" s="33"/>
      <c r="I27" s="33"/>
      <c r="J27" s="33"/>
    </row>
    <row r="28" spans="1:15">
      <c r="A28" s="46"/>
      <c r="B28" s="31"/>
      <c r="C28" s="47"/>
      <c r="D28" s="47"/>
      <c r="E28" s="48"/>
      <c r="F28" s="48"/>
      <c r="G28" s="48"/>
      <c r="H28" s="49"/>
      <c r="I28" s="50"/>
      <c r="J28" s="50"/>
    </row>
    <row r="29" spans="1:15">
      <c r="A29" s="457" t="s">
        <v>47</v>
      </c>
      <c r="B29" s="19" t="s">
        <v>46</v>
      </c>
      <c r="C29" s="19" t="s">
        <v>21</v>
      </c>
      <c r="D29" s="12" t="s">
        <v>22</v>
      </c>
      <c r="E29" s="232" t="s">
        <v>368</v>
      </c>
      <c r="F29" s="233">
        <v>0.2</v>
      </c>
      <c r="G29" s="48"/>
      <c r="H29" s="49"/>
      <c r="I29" s="50"/>
      <c r="J29" s="50"/>
    </row>
    <row r="30" spans="1:15" ht="21" customHeight="1">
      <c r="A30" s="522" t="s">
        <v>58</v>
      </c>
      <c r="B30" s="458">
        <v>80000</v>
      </c>
      <c r="C30" s="231">
        <f>B8-B30</f>
        <v>185900</v>
      </c>
      <c r="D30" s="30">
        <f>C30/B8</f>
        <v>0.69913501316284321</v>
      </c>
      <c r="E30" s="232" t="s">
        <v>23</v>
      </c>
      <c r="F30" s="234"/>
      <c r="G30" s="48"/>
      <c r="H30" s="49"/>
      <c r="I30" s="50"/>
      <c r="J30" s="50"/>
    </row>
    <row r="31" spans="1:15" ht="33.5">
      <c r="A31" s="523"/>
      <c r="B31" s="11" t="s">
        <v>24</v>
      </c>
      <c r="C31" s="21" t="s">
        <v>25</v>
      </c>
      <c r="D31" s="25" t="s">
        <v>62</v>
      </c>
      <c r="E31" s="23" t="s">
        <v>40</v>
      </c>
      <c r="F31" s="24" t="s">
        <v>41</v>
      </c>
      <c r="G31" s="29" t="s">
        <v>50</v>
      </c>
      <c r="H31" s="36" t="s">
        <v>42</v>
      </c>
      <c r="I31" s="559" t="s">
        <v>397</v>
      </c>
      <c r="J31" s="560"/>
    </row>
    <row r="32" spans="1:15" ht="44.5" customHeight="1">
      <c r="A32" s="524"/>
      <c r="B32" s="22" t="s">
        <v>32</v>
      </c>
      <c r="C32" s="43">
        <f>ROUNDUP(PMT(系数参数!B2/12,24,-B30)-H32/24,2)</f>
        <v>3402.8700000000003</v>
      </c>
      <c r="D32" s="445">
        <f>C32*24-B30</f>
        <v>1668.8800000000047</v>
      </c>
      <c r="E32" s="446">
        <f>RATE(24,-C32,B30)*12</f>
        <v>1.9900162851299093E-2</v>
      </c>
      <c r="F32" s="446">
        <f>D32/B30/2</f>
        <v>1.0430500000000028E-2</v>
      </c>
      <c r="G32" s="446">
        <f>D32/B30</f>
        <v>2.0861000000000057E-2</v>
      </c>
      <c r="H32" s="447">
        <f>系数参数!D17</f>
        <v>3418.05</v>
      </c>
      <c r="I32" s="561" t="s">
        <v>466</v>
      </c>
      <c r="J32" s="562"/>
    </row>
    <row r="33" spans="1:10">
      <c r="B33" s="33"/>
      <c r="C33" s="33"/>
      <c r="D33" s="33"/>
      <c r="E33" s="33"/>
      <c r="F33" s="33"/>
      <c r="G33" s="33"/>
      <c r="H33" s="33"/>
      <c r="I33" s="33"/>
      <c r="J33" s="33"/>
    </row>
    <row r="35" spans="1:10" ht="28">
      <c r="A35" s="19" t="s">
        <v>56</v>
      </c>
      <c r="B35" s="37" t="s">
        <v>66</v>
      </c>
      <c r="C35" s="19" t="s">
        <v>21</v>
      </c>
      <c r="D35" s="12" t="s">
        <v>22</v>
      </c>
      <c r="E35" s="459" t="s">
        <v>471</v>
      </c>
    </row>
    <row r="36" spans="1:10" ht="16.5" customHeight="1">
      <c r="A36" s="544" t="s">
        <v>404</v>
      </c>
      <c r="B36" s="388">
        <f>B8*50%</f>
        <v>132950</v>
      </c>
      <c r="C36" s="389">
        <f>B8-B36</f>
        <v>132950</v>
      </c>
      <c r="D36" s="381">
        <f>C36/B8</f>
        <v>0.5</v>
      </c>
      <c r="E36" s="388">
        <f>B8*50%</f>
        <v>132950</v>
      </c>
    </row>
    <row r="37" spans="1:10" ht="33.5" customHeight="1">
      <c r="A37" s="544"/>
      <c r="B37" s="19" t="s">
        <v>24</v>
      </c>
      <c r="C37" s="21" t="s">
        <v>25</v>
      </c>
      <c r="D37" s="25" t="s">
        <v>62</v>
      </c>
      <c r="E37" s="25" t="s">
        <v>40</v>
      </c>
      <c r="F37" s="25" t="s">
        <v>41</v>
      </c>
      <c r="G37" s="382" t="s">
        <v>50</v>
      </c>
      <c r="H37" s="36" t="s">
        <v>42</v>
      </c>
      <c r="I37" s="554" t="s">
        <v>398</v>
      </c>
      <c r="J37" s="554"/>
    </row>
    <row r="38" spans="1:10" ht="24.5" customHeight="1">
      <c r="A38" s="544"/>
      <c r="B38" s="12" t="s">
        <v>129</v>
      </c>
      <c r="C38" s="43">
        <f>ROUNDUP(PMT(系数参数!B2/12,12,-B36,C40)-H38/12,2)</f>
        <v>331.27</v>
      </c>
      <c r="D38" s="555">
        <f>C38*12</f>
        <v>3975.24</v>
      </c>
      <c r="E38" s="556">
        <f>RATE(12,-C38,B36,-C40)*12</f>
        <v>2.9900263257416036E-2</v>
      </c>
      <c r="F38" s="556">
        <f>D38/B36/1</f>
        <v>2.9900263256863482E-2</v>
      </c>
      <c r="G38" s="556">
        <f>D38/B36</f>
        <v>2.9900263256863482E-2</v>
      </c>
      <c r="H38" s="557">
        <f>B36*VLOOKUP(B38,系数参数!$B$9:$D$10,3,0)</f>
        <v>3988.5</v>
      </c>
      <c r="I38" s="550" t="s">
        <v>410</v>
      </c>
      <c r="J38" s="551"/>
    </row>
    <row r="39" spans="1:10" ht="24.5" customHeight="1">
      <c r="A39" s="544"/>
      <c r="B39" s="383" t="s">
        <v>470</v>
      </c>
      <c r="C39" s="43">
        <f>B36+C38</f>
        <v>133281.26999999999</v>
      </c>
      <c r="D39" s="555"/>
      <c r="E39" s="556"/>
      <c r="F39" s="556"/>
      <c r="G39" s="556"/>
      <c r="H39" s="557"/>
      <c r="I39" s="552"/>
      <c r="J39" s="553"/>
    </row>
    <row r="40" spans="1:10">
      <c r="C40" s="387">
        <f>B36</f>
        <v>132950</v>
      </c>
    </row>
    <row r="41" spans="1:10">
      <c r="C41" s="387"/>
    </row>
    <row r="42" spans="1:10" ht="28.5" customHeight="1">
      <c r="A42" s="19" t="s">
        <v>57</v>
      </c>
      <c r="B42" s="37" t="s">
        <v>253</v>
      </c>
      <c r="C42" s="19" t="s">
        <v>21</v>
      </c>
      <c r="D42" s="12" t="s">
        <v>329</v>
      </c>
      <c r="E42" s="459" t="s">
        <v>471</v>
      </c>
      <c r="F42" s="40"/>
    </row>
    <row r="43" spans="1:10" ht="30.5" customHeight="1">
      <c r="A43" s="544" t="s">
        <v>60</v>
      </c>
      <c r="B43" s="51">
        <f>B8-C43</f>
        <v>212720</v>
      </c>
      <c r="C43" s="231">
        <f>B8*D43</f>
        <v>53180</v>
      </c>
      <c r="D43" s="390">
        <v>0.2</v>
      </c>
      <c r="E43" s="51">
        <f>B8*30%</f>
        <v>79770</v>
      </c>
    </row>
    <row r="44" spans="1:10" ht="33" customHeight="1">
      <c r="A44" s="544"/>
      <c r="B44" s="19" t="s">
        <v>24</v>
      </c>
      <c r="C44" s="21" t="s">
        <v>25</v>
      </c>
      <c r="D44" s="37" t="s">
        <v>39</v>
      </c>
      <c r="E44" s="25" t="s">
        <v>40</v>
      </c>
      <c r="F44" s="25" t="s">
        <v>41</v>
      </c>
      <c r="G44" s="382" t="s">
        <v>50</v>
      </c>
      <c r="H44" s="36" t="s">
        <v>42</v>
      </c>
      <c r="I44" s="554" t="s">
        <v>398</v>
      </c>
      <c r="J44" s="554"/>
    </row>
    <row r="45" spans="1:10" ht="21" customHeight="1">
      <c r="A45" s="544"/>
      <c r="B45" s="12" t="s">
        <v>403</v>
      </c>
      <c r="C45" s="43">
        <f>ROUNDUP(PMT(系数参数!B2/12,36,-B43,C47)-H45/36,2)</f>
        <v>4428.25</v>
      </c>
      <c r="D45" s="555">
        <f>C45*36-(B43-C47)</f>
        <v>26467</v>
      </c>
      <c r="E45" s="556">
        <f>RATE(36,-C45,B43,-C47)*12</f>
        <v>5.8800414791991523E-2</v>
      </c>
      <c r="F45" s="556">
        <f>D45/B43/3</f>
        <v>4.1473925034474113E-2</v>
      </c>
      <c r="G45" s="556">
        <f>D45/B43</f>
        <v>0.12442177510342234</v>
      </c>
      <c r="H45" s="557">
        <f>B43*VLOOKUP(D43,系数参数!B10:D11,3,0)</f>
        <v>501.80648000000002</v>
      </c>
      <c r="I45" s="558" t="s">
        <v>411</v>
      </c>
      <c r="J45" s="558"/>
    </row>
    <row r="46" spans="1:10" ht="21" customHeight="1">
      <c r="A46" s="544"/>
      <c r="B46" s="383" t="s">
        <v>469</v>
      </c>
      <c r="C46" s="43">
        <f>B8*30%+C45</f>
        <v>84198.25</v>
      </c>
      <c r="D46" s="555"/>
      <c r="E46" s="556"/>
      <c r="F46" s="556"/>
      <c r="G46" s="556"/>
      <c r="H46" s="557"/>
      <c r="I46" s="558"/>
      <c r="J46" s="558"/>
    </row>
    <row r="47" spans="1:10">
      <c r="C47" s="270">
        <f>B8*30%</f>
        <v>79770</v>
      </c>
    </row>
    <row r="49" spans="1:10">
      <c r="A49" s="19" t="s">
        <v>465</v>
      </c>
      <c r="B49" s="12" t="s">
        <v>22</v>
      </c>
      <c r="C49" s="19" t="s">
        <v>21</v>
      </c>
      <c r="D49" s="227" t="s">
        <v>367</v>
      </c>
      <c r="E49" s="236">
        <v>0.19989999999999999</v>
      </c>
    </row>
    <row r="50" spans="1:10">
      <c r="A50" s="544" t="s">
        <v>54</v>
      </c>
      <c r="B50" s="41">
        <f>C50/B6</f>
        <v>0</v>
      </c>
      <c r="C50" s="231">
        <f>B6-B9</f>
        <v>0</v>
      </c>
    </row>
    <row r="51" spans="1:10" ht="33.5">
      <c r="A51" s="549"/>
      <c r="B51" s="11" t="s">
        <v>24</v>
      </c>
      <c r="C51" s="21" t="s">
        <v>25</v>
      </c>
      <c r="D51" s="25" t="s">
        <v>62</v>
      </c>
      <c r="E51" s="23" t="s">
        <v>40</v>
      </c>
      <c r="F51" s="24" t="s">
        <v>41</v>
      </c>
      <c r="G51" s="29" t="s">
        <v>50</v>
      </c>
      <c r="H51" s="36" t="s">
        <v>42</v>
      </c>
      <c r="I51" s="26" t="s">
        <v>43</v>
      </c>
      <c r="J51" s="380" t="s">
        <v>398</v>
      </c>
    </row>
    <row r="52" spans="1:10" ht="25.5" customHeight="1">
      <c r="A52" s="549"/>
      <c r="B52" s="22" t="s">
        <v>32</v>
      </c>
      <c r="C52" s="43">
        <f>ROUNDUP(PMT(系数参数!B19/12,24,-$B$9)-H52/24,2)</f>
        <v>11545.51</v>
      </c>
      <c r="D52" s="44">
        <f>C52*24-B9</f>
        <v>11192.239999999991</v>
      </c>
      <c r="E52" s="41">
        <f>RATE(24,-C52,B9)*12</f>
        <v>3.9900562046167057E-2</v>
      </c>
      <c r="F52" s="41">
        <f>D52/B9/2</f>
        <v>2.1045957126739359E-2</v>
      </c>
      <c r="G52" s="41">
        <f>D52/$B$9</f>
        <v>4.2091914253478718E-2</v>
      </c>
      <c r="H52" s="45">
        <f>$B$9*VLOOKUP(B52,系数参数!$B$20:$D$21,3,0)</f>
        <v>5715.5204999999996</v>
      </c>
      <c r="I52" s="66">
        <v>30000</v>
      </c>
      <c r="J52" s="291" t="s">
        <v>430</v>
      </c>
    </row>
    <row r="53" spans="1:10" ht="25.5" customHeight="1">
      <c r="A53" s="549"/>
      <c r="B53" s="412" t="s">
        <v>38</v>
      </c>
      <c r="C53" s="43">
        <f>ROUNDUP(PMT(系数参数!B19/12,12,-$B$9)-H53/12,2)</f>
        <v>22518.85</v>
      </c>
      <c r="D53" s="414">
        <f>C53*12-B9</f>
        <v>4326.1999999999534</v>
      </c>
      <c r="E53" s="415">
        <f>RATE(12,-C53,B9)*12</f>
        <v>2.9900553689544786E-2</v>
      </c>
      <c r="F53" s="415">
        <f>D53/B9/1</f>
        <v>1.6270026325686172E-2</v>
      </c>
      <c r="G53" s="415">
        <f>D53/$B$9</f>
        <v>1.6270026325686172E-2</v>
      </c>
      <c r="H53" s="416">
        <f>$B$9*VLOOKUP(B53,系数参数!$B$20:$D$21,3,0)</f>
        <v>4379.9048000000003</v>
      </c>
      <c r="I53" s="413">
        <v>150000</v>
      </c>
      <c r="J53" s="417" t="s">
        <v>431</v>
      </c>
    </row>
    <row r="54" spans="1:10" ht="22" customHeight="1">
      <c r="A54" s="47"/>
      <c r="B54" s="47"/>
      <c r="C54" s="47"/>
      <c r="D54" s="47"/>
      <c r="E54" s="48"/>
      <c r="F54" s="48"/>
      <c r="G54" s="48"/>
      <c r="H54" s="49"/>
      <c r="I54" s="50"/>
      <c r="J54" s="230"/>
    </row>
  </sheetData>
  <sheetProtection algorithmName="SHA-512" hashValue="+q5Gove+cFsu0ig+E6368I4WJ6Upyg3PCo0QEVJ9UqWDzS8FcEUe2rIy2Ni8HfkDfd5cMet+Qc+SI3Jt01cdMQ==" saltValue="ciEH5X4/dRIijrr4k1EePQ==" spinCount="100000" sheet="1" objects="1" scenarios="1"/>
  <mergeCells count="38">
    <mergeCell ref="D45:D46"/>
    <mergeCell ref="B3:C3"/>
    <mergeCell ref="B6:C6"/>
    <mergeCell ref="B7:C7"/>
    <mergeCell ref="B8:C8"/>
    <mergeCell ref="B9:C9"/>
    <mergeCell ref="B5:C5"/>
    <mergeCell ref="B4:C4"/>
    <mergeCell ref="A50:A53"/>
    <mergeCell ref="M15:N15"/>
    <mergeCell ref="M16:N16"/>
    <mergeCell ref="M17:N17"/>
    <mergeCell ref="M18:N18"/>
    <mergeCell ref="A14:A20"/>
    <mergeCell ref="J16:J20"/>
    <mergeCell ref="A43:A46"/>
    <mergeCell ref="I44:J44"/>
    <mergeCell ref="I45:J46"/>
    <mergeCell ref="H45:H46"/>
    <mergeCell ref="G45:G46"/>
    <mergeCell ref="F45:F46"/>
    <mergeCell ref="E45:E46"/>
    <mergeCell ref="I37:J37"/>
    <mergeCell ref="D38:D39"/>
    <mergeCell ref="A24:A26"/>
    <mergeCell ref="H38:H39"/>
    <mergeCell ref="F6:J9"/>
    <mergeCell ref="D8:E8"/>
    <mergeCell ref="I25:J25"/>
    <mergeCell ref="I26:J26"/>
    <mergeCell ref="A30:A32"/>
    <mergeCell ref="I31:J31"/>
    <mergeCell ref="I32:J32"/>
    <mergeCell ref="A36:A39"/>
    <mergeCell ref="I38:J39"/>
    <mergeCell ref="E38:E39"/>
    <mergeCell ref="F38:F39"/>
    <mergeCell ref="G38:G39"/>
  </mergeCells>
  <phoneticPr fontId="3" type="noConversion"/>
  <conditionalFormatting sqref="B38 B45">
    <cfRule type="expression" dxfId="80" priority="26">
      <formula>$B$17&lt;#REF!</formula>
    </cfRule>
  </conditionalFormatting>
  <conditionalFormatting sqref="B16:G16">
    <cfRule type="expression" dxfId="79" priority="6">
      <formula>$B$9&lt;$I$16</formula>
    </cfRule>
  </conditionalFormatting>
  <conditionalFormatting sqref="B17:G17">
    <cfRule type="expression" dxfId="78" priority="5">
      <formula>$B$9&lt;$I$17</formula>
    </cfRule>
  </conditionalFormatting>
  <conditionalFormatting sqref="B18:G20">
    <cfRule type="expression" dxfId="77" priority="4">
      <formula>$B$9&lt;$I$18</formula>
    </cfRule>
  </conditionalFormatting>
  <conditionalFormatting sqref="B52:G53">
    <cfRule type="expression" dxfId="76" priority="10">
      <formula>$B$50&gt;$E$49</formula>
    </cfRule>
  </conditionalFormatting>
  <conditionalFormatting sqref="D13:E13">
    <cfRule type="expression" dxfId="75" priority="16">
      <formula>$B$14&lt;$E$13</formula>
    </cfRule>
  </conditionalFormatting>
  <conditionalFormatting sqref="D14:E14">
    <cfRule type="expression" dxfId="74" priority="3">
      <formula>$B$14&lt;30%</formula>
    </cfRule>
  </conditionalFormatting>
  <conditionalFormatting sqref="D49:E49">
    <cfRule type="expression" dxfId="73" priority="11">
      <formula>$B$50&gt;$E$49</formula>
    </cfRule>
  </conditionalFormatting>
  <conditionalFormatting sqref="E24">
    <cfRule type="expression" dxfId="72" priority="13">
      <formula>$D$24&lt;30%</formula>
    </cfRule>
  </conditionalFormatting>
  <conditionalFormatting sqref="E30">
    <cfRule type="expression" dxfId="71" priority="2">
      <formula>$D$24&lt;30%</formula>
    </cfRule>
  </conditionalFormatting>
  <conditionalFormatting sqref="E23:F23">
    <cfRule type="expression" dxfId="70" priority="12">
      <formula>$D$24&lt;$F$23</formula>
    </cfRule>
  </conditionalFormatting>
  <conditionalFormatting sqref="E29:F29">
    <cfRule type="expression" dxfId="69" priority="1">
      <formula>$D$30&lt;$F$29</formula>
    </cfRule>
  </conditionalFormatting>
  <conditionalFormatting sqref="I16:I19">
    <cfRule type="expression" dxfId="68" priority="9">
      <formula>$B$9&lt;$I$16</formula>
    </cfRule>
  </conditionalFormatting>
  <conditionalFormatting sqref="I20">
    <cfRule type="expression" dxfId="67" priority="7">
      <formula>$B$9&lt;$I$18</formula>
    </cfRule>
  </conditionalFormatting>
  <dataValidations count="3">
    <dataValidation type="list" allowBlank="1" showInputMessage="1" showErrorMessage="1" sqref="D43" xr:uid="{00000000-0002-0000-0400-000000000000}">
      <formula1>"20%,30%"</formula1>
    </dataValidation>
    <dataValidation type="list" allowBlank="1" showInputMessage="1" showErrorMessage="1" sqref="B3:C3" xr:uid="{D0F986F3-7AF4-4BF6-8ED8-2570EAA0A1D0}">
      <formula1>车系</formula1>
    </dataValidation>
    <dataValidation type="list" allowBlank="1" showInputMessage="1" showErrorMessage="1" sqref="B4:C4" xr:uid="{F266A9CD-D223-463C-B7C7-D51D64B0CFB5}">
      <formula1>INDIRECT($B$3)</formula1>
    </dataValidation>
  </dataValidations>
  <hyperlinks>
    <hyperlink ref="J1" location="试算路径及方案简述!A1" display="返回" xr:uid="{00000000-0004-0000-0400-000000000000}"/>
  </hyperlinks>
  <pageMargins left="0.7" right="0.7" top="0.75" bottom="0.75" header="0.3" footer="0.3"/>
  <pageSetup paperSize="9" orientation="portrait" horizontalDpi="300" verticalDpi="0" copies="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sheetPr>
  <dimension ref="A1:O26"/>
  <sheetViews>
    <sheetView showGridLines="0" topLeftCell="C1" zoomScale="70" zoomScaleNormal="70" workbookViewId="0">
      <pane ySplit="12" topLeftCell="A13" activePane="bottomLeft" state="frozen"/>
      <selection pane="bottomLeft" activeCell="J1" sqref="J1"/>
    </sheetView>
  </sheetViews>
  <sheetFormatPr defaultColWidth="8.6640625" defaultRowHeight="16.5"/>
  <cols>
    <col min="1" max="1" width="17" style="39" customWidth="1"/>
    <col min="2" max="2" width="15.58203125" style="39" customWidth="1"/>
    <col min="3" max="3" width="21.4140625" style="39" customWidth="1"/>
    <col min="4" max="4" width="16.58203125" style="39" customWidth="1"/>
    <col min="5" max="5" width="12.33203125" style="39" customWidth="1"/>
    <col min="6" max="9" width="11.08203125" style="39" customWidth="1"/>
    <col min="10" max="10" width="78.08203125" style="39" customWidth="1"/>
    <col min="11" max="11" width="10.9140625" style="39" customWidth="1"/>
    <col min="12" max="14" width="8.6640625" style="39"/>
    <col min="15" max="15" width="13.33203125" style="39" customWidth="1"/>
    <col min="16" max="16384" width="8.6640625" style="39"/>
  </cols>
  <sheetData>
    <row r="1" spans="1:15" ht="25">
      <c r="J1" s="260" t="s">
        <v>68</v>
      </c>
    </row>
    <row r="2" spans="1:15">
      <c r="A2" s="17" t="s">
        <v>33</v>
      </c>
    </row>
    <row r="3" spans="1:15" ht="22" customHeight="1">
      <c r="A3" s="408" t="s">
        <v>17</v>
      </c>
      <c r="B3" s="564" t="s">
        <v>16</v>
      </c>
      <c r="C3" s="565"/>
    </row>
    <row r="4" spans="1:15" ht="22" customHeight="1">
      <c r="A4" s="408" t="s">
        <v>421</v>
      </c>
      <c r="B4" s="538" t="s">
        <v>88</v>
      </c>
      <c r="C4" s="539"/>
    </row>
    <row r="5" spans="1:15" ht="22" customHeight="1">
      <c r="A5" s="408" t="s">
        <v>420</v>
      </c>
      <c r="B5" s="540">
        <f>VLOOKUP(B4,'厂贴车型明细&amp;贷款金额说明'!E9:F62,2,0)</f>
        <v>239700</v>
      </c>
      <c r="C5" s="541"/>
    </row>
    <row r="6" spans="1:15" ht="22" customHeight="1">
      <c r="A6" s="7" t="s">
        <v>64</v>
      </c>
      <c r="B6" s="543">
        <v>265900</v>
      </c>
      <c r="C6" s="543"/>
      <c r="F6" s="536" t="s">
        <v>254</v>
      </c>
      <c r="G6" s="536"/>
      <c r="H6" s="536"/>
      <c r="I6" s="536"/>
      <c r="J6" s="536"/>
    </row>
    <row r="7" spans="1:15" ht="22" customHeight="1">
      <c r="A7" s="7" t="s">
        <v>18</v>
      </c>
      <c r="B7" s="543">
        <v>0</v>
      </c>
      <c r="C7" s="543"/>
      <c r="F7" s="536"/>
      <c r="G7" s="536"/>
      <c r="H7" s="536"/>
      <c r="I7" s="536"/>
      <c r="J7" s="536"/>
    </row>
    <row r="8" spans="1:15" ht="22" customHeight="1">
      <c r="A8" s="8" t="s">
        <v>19</v>
      </c>
      <c r="B8" s="532">
        <f>B6+B7</f>
        <v>265900</v>
      </c>
      <c r="C8" s="532"/>
      <c r="D8" s="547" t="s">
        <v>325</v>
      </c>
      <c r="E8" s="548"/>
      <c r="F8" s="536"/>
      <c r="G8" s="536"/>
      <c r="H8" s="536"/>
      <c r="I8" s="536"/>
      <c r="J8" s="536"/>
    </row>
    <row r="9" spans="1:15" ht="22" customHeight="1">
      <c r="A9" s="7" t="s">
        <v>20</v>
      </c>
      <c r="B9" s="543">
        <v>150000</v>
      </c>
      <c r="C9" s="543"/>
      <c r="F9" s="536"/>
      <c r="G9" s="536"/>
      <c r="H9" s="536"/>
      <c r="I9" s="536"/>
      <c r="J9" s="536"/>
    </row>
    <row r="10" spans="1:15" ht="3" customHeight="1"/>
    <row r="11" spans="1:15" ht="12.5" customHeight="1"/>
    <row r="12" spans="1:15">
      <c r="A12" s="18" t="s">
        <v>34</v>
      </c>
    </row>
    <row r="13" spans="1:15">
      <c r="A13" s="248" t="s">
        <v>36</v>
      </c>
      <c r="B13" s="12" t="s">
        <v>22</v>
      </c>
      <c r="C13" s="19" t="s">
        <v>21</v>
      </c>
      <c r="D13" s="406" t="s">
        <v>368</v>
      </c>
      <c r="E13" s="233">
        <v>0.15</v>
      </c>
    </row>
    <row r="14" spans="1:15" ht="16.5" customHeight="1">
      <c r="A14" s="566" t="s">
        <v>53</v>
      </c>
      <c r="B14" s="246">
        <f>C14/B8</f>
        <v>0.43587814968033095</v>
      </c>
      <c r="C14" s="231">
        <f>B8-B9</f>
        <v>115900</v>
      </c>
      <c r="D14" s="232" t="s">
        <v>342</v>
      </c>
      <c r="E14" s="235"/>
      <c r="M14" s="83" t="s">
        <v>107</v>
      </c>
      <c r="N14" s="9"/>
      <c r="O14" s="9"/>
    </row>
    <row r="15" spans="1:15" ht="33.5">
      <c r="A15" s="567"/>
      <c r="B15" s="11" t="s">
        <v>24</v>
      </c>
      <c r="C15" s="21" t="s">
        <v>25</v>
      </c>
      <c r="D15" s="25" t="s">
        <v>62</v>
      </c>
      <c r="E15" s="23" t="s">
        <v>40</v>
      </c>
      <c r="F15" s="24" t="s">
        <v>41</v>
      </c>
      <c r="G15" s="29" t="s">
        <v>50</v>
      </c>
      <c r="H15" s="36" t="s">
        <v>42</v>
      </c>
      <c r="I15" s="26" t="s">
        <v>43</v>
      </c>
      <c r="J15" s="380" t="s">
        <v>398</v>
      </c>
      <c r="L15" s="13" t="s">
        <v>27</v>
      </c>
      <c r="M15" s="525">
        <v>24</v>
      </c>
      <c r="N15" s="525"/>
      <c r="O15" s="212" t="s">
        <v>45</v>
      </c>
    </row>
    <row r="16" spans="1:15" ht="17" customHeight="1">
      <c r="A16" s="567"/>
      <c r="B16" s="22" t="s">
        <v>26</v>
      </c>
      <c r="C16" s="43">
        <f>ROUNDUP(PMT(系数参数!G2/12,60,-$B$9)-H16/60,2)</f>
        <v>2891.5600000000004</v>
      </c>
      <c r="D16" s="44">
        <f>C16*60-B9</f>
        <v>23493.600000000035</v>
      </c>
      <c r="E16" s="41">
        <f>RATE(60,-C16,B9)*12</f>
        <v>5.8800310813108533E-2</v>
      </c>
      <c r="F16" s="41">
        <f>D16/B9/5</f>
        <v>3.1324800000000048E-2</v>
      </c>
      <c r="G16" s="41">
        <f>D16/$B$9</f>
        <v>0.15662400000000024</v>
      </c>
      <c r="H16" s="45">
        <f>$B$9*VLOOKUP(B16,系数参数!$G$4:$I$8,3,0)</f>
        <v>460.04999999999995</v>
      </c>
      <c r="I16" s="256">
        <v>30000</v>
      </c>
      <c r="J16" s="569" t="s">
        <v>413</v>
      </c>
      <c r="L16" s="13" t="s">
        <v>29</v>
      </c>
      <c r="M16" s="530">
        <f>B9-(C16*M15-M18)</f>
        <v>95218.560002118553</v>
      </c>
      <c r="N16" s="530"/>
      <c r="O16" s="14"/>
    </row>
    <row r="17" spans="1:15" ht="17" customHeight="1">
      <c r="A17" s="567"/>
      <c r="B17" s="22" t="s">
        <v>28</v>
      </c>
      <c r="C17" s="43">
        <f>ROUNDUP(PMT(系数参数!G2/12,48,-$B$9)-H17/48,2)</f>
        <v>3514.51</v>
      </c>
      <c r="D17" s="44">
        <f>C17*48-B9</f>
        <v>18696.48000000001</v>
      </c>
      <c r="E17" s="41">
        <f>RATE(48,-C17,B9)*12</f>
        <v>5.8800340007054974E-2</v>
      </c>
      <c r="F17" s="41">
        <f>D17/B9/4</f>
        <v>3.1160800000000016E-2</v>
      </c>
      <c r="G17" s="41">
        <f t="shared" ref="G17" si="0">D17/$B$9</f>
        <v>0.12464320000000007</v>
      </c>
      <c r="H17" s="45">
        <f>$B$9*VLOOKUP(B17,系数参数!$G$4:$I$8,3,0)</f>
        <v>362.85</v>
      </c>
      <c r="I17" s="256">
        <v>30000</v>
      </c>
      <c r="J17" s="570"/>
      <c r="L17" s="15" t="s">
        <v>31</v>
      </c>
      <c r="M17" s="531">
        <f>D16-M18</f>
        <v>8877.5999978814871</v>
      </c>
      <c r="N17" s="531"/>
      <c r="O17" s="14"/>
    </row>
    <row r="18" spans="1:15" ht="17" customHeight="1">
      <c r="A18" s="567"/>
      <c r="B18" s="238" t="s">
        <v>30</v>
      </c>
      <c r="C18" s="239">
        <f>ROUNDUP(PMT(系数参数!G2/12,36,-$B$9)-H18/36,2)</f>
        <v>4555.1400000000003</v>
      </c>
      <c r="D18" s="240">
        <f>C18*36-B9</f>
        <v>13985.040000000008</v>
      </c>
      <c r="E18" s="65">
        <f>RATE(36,-C18,B9)*12</f>
        <v>5.8800111892646147E-2</v>
      </c>
      <c r="F18" s="65">
        <f>D18/B9/3</f>
        <v>3.1077866666666686E-2</v>
      </c>
      <c r="G18" s="65">
        <f>D18/$B$9</f>
        <v>9.3233600000000055E-2</v>
      </c>
      <c r="H18" s="241">
        <f>$B$9*VLOOKUP(B18,系数参数!$G$4:$I$8,3,0)</f>
        <v>269.10000000000002</v>
      </c>
      <c r="I18" s="256">
        <v>30000</v>
      </c>
      <c r="J18" s="570"/>
      <c r="L18" s="27" t="s">
        <v>44</v>
      </c>
      <c r="M18" s="537">
        <f>(B9*(E16/12)-C16)*((1+(E16/12))^(M15)-1)/(E16/12)+(C16)*M15</f>
        <v>14616.000002118548</v>
      </c>
      <c r="N18" s="537"/>
      <c r="O18" s="16"/>
    </row>
    <row r="19" spans="1:15" ht="17" customHeight="1">
      <c r="A19" s="567"/>
      <c r="B19" s="247" t="s">
        <v>1</v>
      </c>
      <c r="C19" s="242">
        <f>ROUNDUP(PMT(系数参数!G2/12,24,-$B$9)-H19/24,2)</f>
        <v>6639.9800000000005</v>
      </c>
      <c r="D19" s="243">
        <f>C19*24-B9</f>
        <v>9359.5200000000186</v>
      </c>
      <c r="E19" s="244">
        <f>RATE(24,-C19,B9)*12</f>
        <v>5.8799439170593618E-2</v>
      </c>
      <c r="F19" s="244">
        <f>D19/B9/2</f>
        <v>3.1198400000000064E-2</v>
      </c>
      <c r="G19" s="244">
        <f>D19/$B$9</f>
        <v>6.2396800000000127E-2</v>
      </c>
      <c r="H19" s="245">
        <f>$B$9*VLOOKUP(B19,系数参数!$G$4:$I$8,3,0)</f>
        <v>178.5</v>
      </c>
      <c r="I19" s="256">
        <v>30000</v>
      </c>
      <c r="J19" s="571"/>
      <c r="L19" s="27"/>
      <c r="M19" s="237"/>
      <c r="N19" s="237"/>
      <c r="O19" s="16"/>
    </row>
    <row r="20" spans="1:15" ht="18" customHeight="1">
      <c r="A20" s="568"/>
      <c r="B20" s="403" t="s">
        <v>0</v>
      </c>
      <c r="C20" s="405">
        <f>ROUNDUP(PMT(6.98%/12,12,-$B$9)-H20/12,2)</f>
        <v>12977.630000000001</v>
      </c>
      <c r="D20" s="399">
        <f>C20*12-B9</f>
        <v>5731.5599999999977</v>
      </c>
      <c r="E20" s="400">
        <f>RATE(12,-C20,B9)*12</f>
        <v>6.9800151027349461E-2</v>
      </c>
      <c r="F20" s="400">
        <f>D20/B9/1</f>
        <v>3.8210399999999985E-2</v>
      </c>
      <c r="G20" s="400">
        <f>D20/$B$9</f>
        <v>3.8210399999999985E-2</v>
      </c>
      <c r="H20" s="401">
        <f>$B$9*VLOOKUP(B20,系数参数!$G$4:$I$8,3,0)</f>
        <v>0</v>
      </c>
      <c r="I20" s="404">
        <v>25000</v>
      </c>
      <c r="J20" s="257"/>
      <c r="L20" s="27"/>
      <c r="M20" s="237"/>
      <c r="N20" s="237"/>
      <c r="O20" s="16"/>
    </row>
    <row r="23" spans="1:15" ht="28">
      <c r="A23" s="19" t="s">
        <v>37</v>
      </c>
      <c r="B23" s="37" t="s">
        <v>66</v>
      </c>
      <c r="C23" s="19" t="s">
        <v>21</v>
      </c>
      <c r="D23" s="12" t="s">
        <v>22</v>
      </c>
    </row>
    <row r="24" spans="1:15" ht="16.5" customHeight="1">
      <c r="A24" s="544" t="s">
        <v>55</v>
      </c>
      <c r="B24" s="51">
        <f>B8*50%</f>
        <v>132950</v>
      </c>
      <c r="C24" s="231">
        <f>B8-B24</f>
        <v>132950</v>
      </c>
      <c r="D24" s="41">
        <f>C24/B8</f>
        <v>0.5</v>
      </c>
    </row>
    <row r="25" spans="1:15" ht="33.5" customHeight="1">
      <c r="A25" s="544"/>
      <c r="B25" s="19" t="s">
        <v>24</v>
      </c>
      <c r="C25" s="21" t="s">
        <v>25</v>
      </c>
      <c r="D25" s="32" t="s">
        <v>61</v>
      </c>
      <c r="E25" s="25" t="s">
        <v>62</v>
      </c>
      <c r="F25" s="23" t="s">
        <v>40</v>
      </c>
      <c r="G25" s="24" t="s">
        <v>41</v>
      </c>
      <c r="H25" s="29" t="s">
        <v>50</v>
      </c>
      <c r="I25" s="36" t="s">
        <v>42</v>
      </c>
      <c r="J25" s="380" t="s">
        <v>398</v>
      </c>
    </row>
    <row r="26" spans="1:15" ht="22" customHeight="1">
      <c r="A26" s="544"/>
      <c r="B26" s="12" t="s">
        <v>38</v>
      </c>
      <c r="C26" s="43">
        <f>ROUNDUP(PMT(系数参数!G2/12,12,-B24,D26)-I26/12,2)</f>
        <v>651.46</v>
      </c>
      <c r="D26" s="53">
        <f>B24</f>
        <v>132950</v>
      </c>
      <c r="E26" s="44">
        <f>C26*12</f>
        <v>7817.52</v>
      </c>
      <c r="F26" s="41">
        <f>RATE(12,-C26,B24,-D26)*12</f>
        <v>5.8800451297781539E-2</v>
      </c>
      <c r="G26" s="41">
        <f>E26/B24/1</f>
        <v>5.8800451297480259E-2</v>
      </c>
      <c r="H26" s="41">
        <f>E26/B24</f>
        <v>5.8800451297480259E-2</v>
      </c>
      <c r="I26" s="54">
        <f>B24*VLOOKUP(B26,系数参数!$G$9:$I$10,3,0)</f>
        <v>146.245</v>
      </c>
      <c r="J26" s="226" t="s">
        <v>414</v>
      </c>
    </row>
  </sheetData>
  <sheetProtection algorithmName="SHA-512" hashValue="Hc9hSkixgFz2GC5ENE3mJut69kB79IW4ND77g4YIC+GoqJZ6b5lVBxyD8MUvu/iynzPEDQku8Wz24Mi7ATq3hA==" saltValue="rO7yjW28BYz/Aq3t5LeBPg==" spinCount="100000" sheet="1" objects="1" scenarios="1"/>
  <mergeCells count="16">
    <mergeCell ref="B3:C3"/>
    <mergeCell ref="B6:C6"/>
    <mergeCell ref="F6:J9"/>
    <mergeCell ref="B7:C7"/>
    <mergeCell ref="B8:C8"/>
    <mergeCell ref="B9:C9"/>
    <mergeCell ref="D8:E8"/>
    <mergeCell ref="B4:C4"/>
    <mergeCell ref="B5:C5"/>
    <mergeCell ref="A24:A26"/>
    <mergeCell ref="M15:N15"/>
    <mergeCell ref="M16:N16"/>
    <mergeCell ref="M17:N17"/>
    <mergeCell ref="M18:N18"/>
    <mergeCell ref="A14:A20"/>
    <mergeCell ref="J16:J19"/>
  </mergeCells>
  <phoneticPr fontId="3" type="noConversion"/>
  <conditionalFormatting sqref="B26">
    <cfRule type="expression" dxfId="66" priority="15">
      <formula>$B$17&lt;#REF!</formula>
    </cfRule>
  </conditionalFormatting>
  <conditionalFormatting sqref="B16:G16">
    <cfRule type="expression" dxfId="65" priority="3">
      <formula>$B$9&lt;$I$16</formula>
    </cfRule>
  </conditionalFormatting>
  <conditionalFormatting sqref="B16:G20">
    <cfRule type="expression" dxfId="64" priority="9">
      <formula>$B$9&lt;$I$20</formula>
    </cfRule>
  </conditionalFormatting>
  <conditionalFormatting sqref="B17:G17">
    <cfRule type="expression" dxfId="63" priority="2">
      <formula>$B$9&lt;$I$17</formula>
    </cfRule>
  </conditionalFormatting>
  <conditionalFormatting sqref="D13:E13">
    <cfRule type="expression" dxfId="62" priority="14">
      <formula>$B$14&lt;$E$13</formula>
    </cfRule>
  </conditionalFormatting>
  <conditionalFormatting sqref="D14:E14">
    <cfRule type="expression" dxfId="61" priority="1">
      <formula>$B$14&lt;25%</formula>
    </cfRule>
  </conditionalFormatting>
  <conditionalFormatting sqref="I16:I19">
    <cfRule type="expression" dxfId="60" priority="8">
      <formula>$B$9&lt;$I$16</formula>
    </cfRule>
  </conditionalFormatting>
  <conditionalFormatting sqref="I20">
    <cfRule type="expression" dxfId="59" priority="4">
      <formula>$B$9&lt;$I$20</formula>
    </cfRule>
  </conditionalFormatting>
  <hyperlinks>
    <hyperlink ref="J1" location="试算路径及方案简述!A1" display="返回" xr:uid="{00000000-0004-0000-0500-000000000000}"/>
  </hyperlinks>
  <pageMargins left="0.7" right="0.7" top="0.75" bottom="0.75" header="0.3" footer="0.3"/>
  <pageSetup paperSize="9" orientation="portrait" horizontalDpi="300" verticalDpi="0" copies="0" r:id="rId1"/>
  <extLst>
    <ext xmlns:x14="http://schemas.microsoft.com/office/spreadsheetml/2009/9/main" uri="{CCE6A557-97BC-4b89-ADB6-D9C93CAAB3DF}">
      <x14:dataValidations xmlns:xm="http://schemas.microsoft.com/office/excel/2006/main" count="1">
        <x14:dataValidation type="list" allowBlank="1" showInputMessage="1" showErrorMessage="1" xr:uid="{3CCA964C-C019-4E7A-9802-3EAC14F2CE73}">
          <x14:formula1>
            <xm:f>'厂贴车型明细&amp;贷款金额说明'!$E$51:$E$52</xm:f>
          </x14:formula1>
          <xm:sqref>B4:C4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sheetPr>
  <dimension ref="B1:O79"/>
  <sheetViews>
    <sheetView zoomScale="60" zoomScaleNormal="60" workbookViewId="0">
      <selection activeCell="L18" sqref="L18:M18"/>
    </sheetView>
  </sheetViews>
  <sheetFormatPr defaultColWidth="8.9140625" defaultRowHeight="20" customHeight="1"/>
  <cols>
    <col min="1" max="1" width="1.6640625" style="67" customWidth="1"/>
    <col min="2" max="2" width="24.9140625" style="68" customWidth="1"/>
    <col min="3" max="3" width="16.4140625" style="67" customWidth="1"/>
    <col min="4" max="5" width="17.4140625" style="67" customWidth="1"/>
    <col min="6" max="6" width="16.6640625" style="67" customWidth="1"/>
    <col min="7" max="8" width="16.6640625" style="68" customWidth="1"/>
    <col min="9" max="9" width="64.6640625" style="67" customWidth="1"/>
    <col min="10" max="10" width="5.75" style="67" customWidth="1"/>
    <col min="11" max="11" width="13.25" style="69" customWidth="1"/>
    <col min="12" max="12" width="11.33203125" style="67" customWidth="1"/>
    <col min="13" max="13" width="6.58203125" style="67" customWidth="1"/>
    <col min="14" max="14" width="13.9140625" style="67" customWidth="1"/>
    <col min="15" max="15" width="26" style="67" customWidth="1"/>
    <col min="16" max="16" width="2.33203125" style="67" customWidth="1"/>
    <col min="17" max="17" width="8.9140625" style="67"/>
    <col min="18" max="19" width="11.25" style="67" customWidth="1"/>
    <col min="20" max="16384" width="8.9140625" style="67"/>
  </cols>
  <sheetData>
    <row r="1" spans="2:15" ht="56" customHeight="1">
      <c r="I1" s="294" t="s">
        <v>68</v>
      </c>
    </row>
    <row r="2" spans="2:15" ht="19" customHeight="1">
      <c r="B2" s="329" t="s">
        <v>33</v>
      </c>
      <c r="C2" s="330"/>
      <c r="L2" s="576"/>
    </row>
    <row r="3" spans="2:15" ht="35.5" hidden="1" customHeight="1">
      <c r="B3" s="7" t="s">
        <v>369</v>
      </c>
      <c r="C3" s="331">
        <v>0.11600000000000001</v>
      </c>
      <c r="D3" s="332"/>
      <c r="E3" s="333"/>
      <c r="F3" s="333"/>
      <c r="L3" s="576"/>
    </row>
    <row r="4" spans="2:15" ht="30" customHeight="1">
      <c r="B4" s="7" t="s">
        <v>370</v>
      </c>
      <c r="C4" s="334">
        <v>356300</v>
      </c>
      <c r="D4" s="335"/>
      <c r="E4" s="575" t="s">
        <v>405</v>
      </c>
      <c r="F4" s="575"/>
      <c r="G4" s="575"/>
      <c r="H4" s="575"/>
      <c r="I4" s="575"/>
    </row>
    <row r="5" spans="2:15" ht="34" customHeight="1">
      <c r="B5" s="55" t="s">
        <v>63</v>
      </c>
      <c r="C5" s="334">
        <v>42000</v>
      </c>
      <c r="D5" s="335"/>
      <c r="E5" s="333"/>
      <c r="F5" s="333"/>
    </row>
    <row r="6" spans="2:15" ht="30" customHeight="1">
      <c r="B6" s="336" t="s">
        <v>19</v>
      </c>
      <c r="C6" s="337">
        <f>C4+C5</f>
        <v>398300</v>
      </c>
      <c r="D6" s="335"/>
      <c r="E6" s="333"/>
      <c r="F6" s="333"/>
    </row>
    <row r="7" spans="2:15" ht="30" customHeight="1">
      <c r="B7" s="55" t="s">
        <v>433</v>
      </c>
      <c r="C7" s="334">
        <v>200000</v>
      </c>
      <c r="D7" s="577" t="s">
        <v>371</v>
      </c>
      <c r="E7" s="578"/>
      <c r="F7" s="578"/>
    </row>
    <row r="8" spans="2:15" ht="30" customHeight="1">
      <c r="B8" s="338" t="s">
        <v>21</v>
      </c>
      <c r="C8" s="337">
        <f>C6-C7</f>
        <v>198300</v>
      </c>
      <c r="D8" s="97"/>
    </row>
    <row r="9" spans="2:15" ht="30" customHeight="1">
      <c r="B9" s="339" t="s">
        <v>22</v>
      </c>
      <c r="C9" s="340">
        <f>C8/C6</f>
        <v>0.49786593020336428</v>
      </c>
      <c r="D9" s="579" t="s">
        <v>372</v>
      </c>
      <c r="E9" s="580"/>
    </row>
    <row r="10" spans="2:15" ht="11" customHeight="1"/>
    <row r="11" spans="2:15" ht="30" customHeight="1">
      <c r="B11" s="72" t="s">
        <v>34</v>
      </c>
      <c r="E11" s="72"/>
      <c r="F11" s="72"/>
      <c r="I11" s="68"/>
      <c r="J11" s="68"/>
      <c r="K11" s="72"/>
      <c r="L11" s="83" t="s">
        <v>229</v>
      </c>
    </row>
    <row r="12" spans="2:15" ht="30" customHeight="1">
      <c r="B12" s="341" t="s">
        <v>36</v>
      </c>
      <c r="C12" s="342" t="s">
        <v>24</v>
      </c>
      <c r="D12" s="343" t="s">
        <v>25</v>
      </c>
      <c r="E12" s="344" t="s">
        <v>102</v>
      </c>
      <c r="F12" s="345" t="s">
        <v>103</v>
      </c>
      <c r="G12" s="345" t="s">
        <v>104</v>
      </c>
      <c r="H12" s="346" t="s">
        <v>373</v>
      </c>
      <c r="I12" s="380" t="s">
        <v>398</v>
      </c>
      <c r="J12" s="347"/>
      <c r="K12" s="348" t="s">
        <v>27</v>
      </c>
      <c r="L12" s="581">
        <v>12</v>
      </c>
      <c r="M12" s="582"/>
      <c r="N12" s="90" t="s">
        <v>65</v>
      </c>
      <c r="O12" s="91"/>
    </row>
    <row r="13" spans="2:15" ht="39" customHeight="1">
      <c r="B13" s="349" t="s">
        <v>374</v>
      </c>
      <c r="C13" s="350" t="s">
        <v>26</v>
      </c>
      <c r="D13" s="351">
        <f>ROUNDUP(PMT($C$3/12,60,-$C$7),2)</f>
        <v>4408.5700000000006</v>
      </c>
      <c r="E13" s="352">
        <f>D13*60-C7</f>
        <v>64514.200000000012</v>
      </c>
      <c r="F13" s="353">
        <f>RATE(60,-D13,$C$7)*12</f>
        <v>0.11600013649425442</v>
      </c>
      <c r="G13" s="353">
        <f>E13/$C$7/5</f>
        <v>6.4514200000000008E-2</v>
      </c>
      <c r="H13" s="354">
        <f>E13/$C$7</f>
        <v>0.32257100000000005</v>
      </c>
      <c r="I13" s="355" t="s">
        <v>375</v>
      </c>
      <c r="J13" s="82"/>
      <c r="K13" s="348" t="s">
        <v>29</v>
      </c>
      <c r="L13" s="583">
        <f>C7-(D13*L12-L15)</f>
        <v>168665.97638822906</v>
      </c>
      <c r="M13" s="584"/>
      <c r="N13" s="92"/>
      <c r="O13" s="91"/>
    </row>
    <row r="14" spans="2:15" ht="30" customHeight="1">
      <c r="B14" s="572"/>
      <c r="C14" s="572"/>
      <c r="D14" s="356"/>
      <c r="G14" s="67"/>
      <c r="H14" s="67"/>
      <c r="K14" s="348" t="s">
        <v>110</v>
      </c>
      <c r="L14" s="573">
        <f>E13-L15</f>
        <v>42945.383611770943</v>
      </c>
      <c r="M14" s="574"/>
      <c r="N14" s="92"/>
      <c r="O14" s="91"/>
    </row>
    <row r="15" spans="2:15" ht="14" customHeight="1">
      <c r="B15" s="357"/>
      <c r="G15" s="67"/>
      <c r="H15" s="67"/>
      <c r="K15" s="96" t="s">
        <v>111</v>
      </c>
      <c r="L15" s="585">
        <f>(C7*(F13/12)-D13)*((1+(F13/12))^(L12)-1)/(F13/12)+(D13)*L12</f>
        <v>21568.816388229072</v>
      </c>
      <c r="M15" s="585"/>
    </row>
    <row r="16" spans="2:15" s="361" customFormat="1" ht="7" customHeight="1">
      <c r="B16" s="358"/>
      <c r="C16" s="359"/>
      <c r="D16" s="360"/>
      <c r="G16" s="362"/>
      <c r="H16" s="362"/>
      <c r="K16" s="363"/>
    </row>
    <row r="17" spans="2:15" ht="30" customHeight="1">
      <c r="B17" s="72"/>
      <c r="E17" s="72"/>
      <c r="F17" s="72"/>
      <c r="I17" s="68"/>
      <c r="J17" s="68"/>
      <c r="K17" s="72"/>
      <c r="L17" s="83" t="s">
        <v>229</v>
      </c>
    </row>
    <row r="18" spans="2:15" ht="30" customHeight="1">
      <c r="B18" s="341" t="s">
        <v>376</v>
      </c>
      <c r="C18" s="342" t="s">
        <v>24</v>
      </c>
      <c r="D18" s="343" t="s">
        <v>25</v>
      </c>
      <c r="E18" s="344" t="s">
        <v>102</v>
      </c>
      <c r="F18" s="345" t="s">
        <v>103</v>
      </c>
      <c r="G18" s="345" t="s">
        <v>104</v>
      </c>
      <c r="H18" s="346" t="s">
        <v>373</v>
      </c>
      <c r="I18" s="380" t="s">
        <v>398</v>
      </c>
      <c r="J18" s="347"/>
      <c r="K18" s="348" t="s">
        <v>27</v>
      </c>
      <c r="L18" s="581">
        <v>12</v>
      </c>
      <c r="M18" s="582"/>
      <c r="N18" s="90" t="s">
        <v>65</v>
      </c>
      <c r="O18" s="91"/>
    </row>
    <row r="19" spans="2:15" ht="40" customHeight="1">
      <c r="B19" s="349" t="s">
        <v>377</v>
      </c>
      <c r="C19" s="350" t="s">
        <v>26</v>
      </c>
      <c r="D19" s="351">
        <f>ROUNDUP(PMT($C$3/12,60,-$C$7)-G20/60,2)</f>
        <v>4406.91</v>
      </c>
      <c r="E19" s="352">
        <f>D19*60-C7</f>
        <v>64414.599999999977</v>
      </c>
      <c r="F19" s="353">
        <f>RATE(60,-D19,$C$7)*12</f>
        <v>0.11583500644025367</v>
      </c>
      <c r="G19" s="353">
        <f>E19/$C$7/5</f>
        <v>6.4414599999999975E-2</v>
      </c>
      <c r="H19" s="354">
        <f>E19/$C$7</f>
        <v>0.32207299999999989</v>
      </c>
      <c r="I19" s="355" t="s">
        <v>378</v>
      </c>
      <c r="J19" s="82"/>
      <c r="K19" s="348" t="s">
        <v>29</v>
      </c>
      <c r="L19" s="583">
        <f>C7-(D19*L18-L21)</f>
        <v>168654.54931835557</v>
      </c>
      <c r="M19" s="584"/>
      <c r="N19" s="92"/>
      <c r="O19" s="91"/>
    </row>
    <row r="20" spans="2:15" ht="30" customHeight="1">
      <c r="B20" s="572"/>
      <c r="C20" s="572"/>
      <c r="D20" s="356"/>
      <c r="F20" s="364" t="s">
        <v>379</v>
      </c>
      <c r="G20" s="365">
        <v>100</v>
      </c>
      <c r="H20" s="586" t="s">
        <v>380</v>
      </c>
      <c r="I20" s="587"/>
      <c r="K20" s="348" t="s">
        <v>110</v>
      </c>
      <c r="L20" s="573">
        <f>E19-L21</f>
        <v>42877.130681644412</v>
      </c>
      <c r="M20" s="574"/>
      <c r="N20" s="92"/>
      <c r="O20" s="91"/>
    </row>
    <row r="21" spans="2:15" ht="13.5" customHeight="1">
      <c r="B21" s="357"/>
      <c r="C21" s="114"/>
      <c r="D21" s="114"/>
      <c r="L21" s="366">
        <f>(C7*(F19/12)-D19)*((1+(F19/12))^(L18)-1)/(F19/12)+(D19)*L18</f>
        <v>21537.469318355568</v>
      </c>
    </row>
    <row r="22" spans="2:15" ht="30" customHeight="1">
      <c r="B22" s="114"/>
      <c r="C22" s="114"/>
      <c r="D22" s="114"/>
    </row>
    <row r="23" spans="2:15" ht="30" customHeight="1">
      <c r="B23" s="114"/>
      <c r="C23" s="114"/>
      <c r="D23" s="114"/>
    </row>
    <row r="24" spans="2:15" ht="30" customHeight="1">
      <c r="B24" s="114"/>
      <c r="C24" s="116"/>
      <c r="D24" s="114"/>
    </row>
    <row r="25" spans="2:15" ht="30" customHeight="1">
      <c r="B25" s="114"/>
      <c r="C25" s="131"/>
      <c r="D25" s="116"/>
    </row>
    <row r="26" spans="2:15" ht="30" customHeight="1">
      <c r="B26" s="114"/>
      <c r="C26" s="116"/>
      <c r="D26" s="131"/>
    </row>
    <row r="27" spans="2:15" ht="30" customHeight="1">
      <c r="B27" s="114"/>
      <c r="C27" s="114"/>
      <c r="D27" s="116"/>
    </row>
    <row r="28" spans="2:15" ht="30" customHeight="1">
      <c r="B28" s="114"/>
      <c r="C28" s="116"/>
      <c r="D28" s="114"/>
    </row>
    <row r="29" spans="2:15" ht="20" customHeight="1">
      <c r="B29" s="114"/>
      <c r="C29" s="131"/>
      <c r="D29" s="116"/>
    </row>
    <row r="30" spans="2:15" ht="20" customHeight="1">
      <c r="B30" s="114"/>
      <c r="C30" s="131"/>
      <c r="D30" s="131"/>
    </row>
    <row r="31" spans="2:15" ht="20" customHeight="1">
      <c r="B31" s="114"/>
      <c r="C31" s="131"/>
      <c r="D31" s="131"/>
    </row>
    <row r="32" spans="2:15" ht="20" customHeight="1">
      <c r="B32" s="114"/>
      <c r="C32" s="131"/>
      <c r="D32" s="131"/>
    </row>
    <row r="33" spans="2:4" ht="20" customHeight="1">
      <c r="B33" s="114"/>
      <c r="C33" s="131"/>
      <c r="D33" s="131"/>
    </row>
    <row r="34" spans="2:4" ht="20" customHeight="1">
      <c r="B34" s="114"/>
      <c r="C34" s="131"/>
      <c r="D34" s="131"/>
    </row>
    <row r="35" spans="2:4" ht="20" customHeight="1">
      <c r="B35" s="114"/>
      <c r="C35" s="131"/>
      <c r="D35" s="131"/>
    </row>
    <row r="36" spans="2:4" ht="20" customHeight="1">
      <c r="B36" s="114"/>
      <c r="C36" s="131"/>
      <c r="D36" s="131"/>
    </row>
    <row r="37" spans="2:4" ht="20" customHeight="1">
      <c r="B37" s="114"/>
      <c r="C37" s="131"/>
      <c r="D37" s="131"/>
    </row>
    <row r="38" spans="2:4" ht="20" customHeight="1">
      <c r="B38" s="114"/>
      <c r="C38" s="131"/>
      <c r="D38" s="131"/>
    </row>
    <row r="39" spans="2:4" ht="20" customHeight="1">
      <c r="B39" s="114"/>
      <c r="C39" s="131"/>
      <c r="D39" s="131"/>
    </row>
    <row r="40" spans="2:4" ht="20" customHeight="1">
      <c r="B40" s="114"/>
      <c r="C40" s="131"/>
      <c r="D40" s="131"/>
    </row>
    <row r="41" spans="2:4" ht="20" customHeight="1">
      <c r="B41" s="114"/>
      <c r="C41" s="131"/>
      <c r="D41" s="131"/>
    </row>
    <row r="42" spans="2:4" ht="20" customHeight="1">
      <c r="B42" s="114"/>
      <c r="C42" s="131"/>
      <c r="D42" s="131"/>
    </row>
    <row r="43" spans="2:4" ht="20" customHeight="1">
      <c r="B43" s="114"/>
      <c r="C43" s="131"/>
      <c r="D43" s="131"/>
    </row>
    <row r="44" spans="2:4" ht="20" customHeight="1">
      <c r="B44" s="114"/>
      <c r="C44" s="131"/>
      <c r="D44" s="131"/>
    </row>
    <row r="45" spans="2:4" ht="20" customHeight="1">
      <c r="B45" s="114"/>
      <c r="C45" s="131"/>
      <c r="D45" s="131"/>
    </row>
    <row r="46" spans="2:4" ht="20" customHeight="1">
      <c r="B46" s="114"/>
      <c r="C46" s="131"/>
      <c r="D46" s="131"/>
    </row>
    <row r="47" spans="2:4" ht="20" customHeight="1">
      <c r="B47" s="114"/>
      <c r="C47" s="131"/>
      <c r="D47" s="131"/>
    </row>
    <row r="48" spans="2:4" ht="20" customHeight="1">
      <c r="B48" s="114"/>
      <c r="C48" s="131"/>
      <c r="D48" s="131"/>
    </row>
    <row r="49" spans="2:4" ht="20" customHeight="1">
      <c r="B49" s="114"/>
      <c r="C49" s="131"/>
      <c r="D49" s="131"/>
    </row>
    <row r="50" spans="2:4" ht="20" customHeight="1">
      <c r="B50" s="114"/>
      <c r="C50" s="131"/>
      <c r="D50" s="131"/>
    </row>
    <row r="51" spans="2:4" ht="20" customHeight="1">
      <c r="B51" s="114"/>
      <c r="C51" s="131"/>
      <c r="D51" s="131"/>
    </row>
    <row r="52" spans="2:4" ht="20" customHeight="1">
      <c r="B52" s="114"/>
      <c r="C52" s="131"/>
      <c r="D52" s="131"/>
    </row>
    <row r="53" spans="2:4" ht="20" customHeight="1">
      <c r="B53" s="114"/>
      <c r="C53" s="131"/>
      <c r="D53" s="131"/>
    </row>
    <row r="54" spans="2:4" ht="20" customHeight="1">
      <c r="B54" s="114"/>
      <c r="C54" s="131"/>
      <c r="D54" s="131"/>
    </row>
    <row r="55" spans="2:4" ht="20" customHeight="1">
      <c r="B55" s="114"/>
      <c r="C55" s="131"/>
      <c r="D55" s="131"/>
    </row>
    <row r="56" spans="2:4" ht="20" customHeight="1">
      <c r="B56" s="114"/>
      <c r="C56" s="131"/>
      <c r="D56" s="131"/>
    </row>
    <row r="57" spans="2:4" ht="20" customHeight="1">
      <c r="B57" s="114"/>
      <c r="C57" s="131"/>
      <c r="D57" s="131"/>
    </row>
    <row r="58" spans="2:4" ht="20" customHeight="1">
      <c r="B58" s="114"/>
      <c r="C58" s="131"/>
      <c r="D58" s="131"/>
    </row>
    <row r="59" spans="2:4" ht="20" customHeight="1">
      <c r="B59" s="114"/>
      <c r="C59" s="131"/>
      <c r="D59" s="131"/>
    </row>
    <row r="60" spans="2:4" ht="20" customHeight="1">
      <c r="B60" s="114"/>
      <c r="C60" s="131"/>
      <c r="D60" s="131"/>
    </row>
    <row r="61" spans="2:4" ht="20" customHeight="1">
      <c r="B61" s="114"/>
      <c r="C61" s="131"/>
      <c r="D61" s="131"/>
    </row>
    <row r="62" spans="2:4" ht="20" customHeight="1">
      <c r="B62" s="114"/>
      <c r="C62" s="131"/>
      <c r="D62" s="131"/>
    </row>
    <row r="63" spans="2:4" ht="20" customHeight="1">
      <c r="B63" s="114"/>
      <c r="C63" s="131"/>
      <c r="D63" s="131"/>
    </row>
    <row r="64" spans="2:4" ht="20" customHeight="1">
      <c r="B64" s="114"/>
      <c r="C64" s="131"/>
      <c r="D64" s="131"/>
    </row>
    <row r="65" spans="2:4" ht="20" customHeight="1">
      <c r="B65" s="114"/>
      <c r="C65" s="131"/>
      <c r="D65" s="131"/>
    </row>
    <row r="66" spans="2:4" ht="20" customHeight="1">
      <c r="B66" s="114"/>
      <c r="C66" s="131"/>
      <c r="D66" s="131"/>
    </row>
    <row r="67" spans="2:4" ht="20" customHeight="1">
      <c r="B67" s="114"/>
      <c r="C67" s="131"/>
      <c r="D67" s="131"/>
    </row>
    <row r="68" spans="2:4" ht="20" customHeight="1">
      <c r="B68" s="114"/>
      <c r="C68" s="131"/>
      <c r="D68" s="131"/>
    </row>
    <row r="69" spans="2:4" ht="20" customHeight="1">
      <c r="B69" s="114"/>
      <c r="C69" s="131"/>
      <c r="D69" s="131"/>
    </row>
    <row r="70" spans="2:4" ht="20" customHeight="1">
      <c r="B70" s="114"/>
      <c r="C70" s="131"/>
      <c r="D70" s="131"/>
    </row>
    <row r="71" spans="2:4" ht="20" customHeight="1">
      <c r="B71" s="114"/>
      <c r="C71" s="131"/>
      <c r="D71" s="131"/>
    </row>
    <row r="72" spans="2:4" ht="20" customHeight="1">
      <c r="B72" s="114"/>
      <c r="C72" s="131"/>
      <c r="D72" s="131"/>
    </row>
    <row r="73" spans="2:4" ht="20" customHeight="1">
      <c r="B73" s="114"/>
      <c r="C73" s="131"/>
      <c r="D73" s="131"/>
    </row>
    <row r="74" spans="2:4" ht="20" customHeight="1">
      <c r="B74" s="114"/>
      <c r="C74" s="131"/>
      <c r="D74" s="131"/>
    </row>
    <row r="75" spans="2:4" ht="20" customHeight="1">
      <c r="B75" s="114"/>
      <c r="C75" s="131"/>
      <c r="D75" s="131"/>
    </row>
    <row r="76" spans="2:4" ht="20" customHeight="1">
      <c r="B76" s="114"/>
      <c r="C76" s="131"/>
      <c r="D76" s="131"/>
    </row>
    <row r="77" spans="2:4" ht="20" customHeight="1">
      <c r="B77" s="114"/>
      <c r="C77" s="131"/>
      <c r="D77" s="131"/>
    </row>
    <row r="78" spans="2:4" ht="20" customHeight="1">
      <c r="B78" s="114"/>
      <c r="C78" s="131"/>
      <c r="D78" s="131"/>
    </row>
    <row r="79" spans="2:4" ht="20" customHeight="1">
      <c r="D79" s="131"/>
    </row>
  </sheetData>
  <sheetProtection algorithmName="SHA-512" hashValue="PjAsh4DUeEOk4idKMprfRzY7501lqzGm4djcgIbndZaVYUnuWXS2V3uUT26x8+bgFT4zlUEX1K9567a5rC4+3g==" saltValue="rLpv6OCHPZrCNXFxgbXUng==" spinCount="100000" sheet="1" objects="1" scenarios="1"/>
  <mergeCells count="14">
    <mergeCell ref="L15:M15"/>
    <mergeCell ref="L18:M18"/>
    <mergeCell ref="L19:M19"/>
    <mergeCell ref="B20:C20"/>
    <mergeCell ref="H20:I20"/>
    <mergeCell ref="L20:M20"/>
    <mergeCell ref="B14:C14"/>
    <mergeCell ref="L14:M14"/>
    <mergeCell ref="E4:I4"/>
    <mergeCell ref="L2:L3"/>
    <mergeCell ref="D7:F7"/>
    <mergeCell ref="D9:E9"/>
    <mergeCell ref="L12:M12"/>
    <mergeCell ref="L13:M13"/>
  </mergeCells>
  <phoneticPr fontId="3" type="noConversion"/>
  <conditionalFormatting sqref="C7">
    <cfRule type="expression" dxfId="58" priority="12">
      <formula>$C$7&lt;50000</formula>
    </cfRule>
  </conditionalFormatting>
  <conditionalFormatting sqref="C9">
    <cfRule type="expression" dxfId="57" priority="13">
      <formula>$C$9&lt;15%</formula>
    </cfRule>
  </conditionalFormatting>
  <conditionalFormatting sqref="C19:G19 I19 G20">
    <cfRule type="expression" dxfId="56" priority="9">
      <formula>$G$20&lt;100</formula>
    </cfRule>
  </conditionalFormatting>
  <conditionalFormatting sqref="D7">
    <cfRule type="expression" dxfId="55" priority="3">
      <formula>$C$7&gt;=$C$4</formula>
    </cfRule>
  </conditionalFormatting>
  <conditionalFormatting sqref="D13:H13">
    <cfRule type="expression" dxfId="54" priority="2">
      <formula>$C$7&lt;50000</formula>
    </cfRule>
  </conditionalFormatting>
  <conditionalFormatting sqref="D19:H19">
    <cfRule type="expression" dxfId="53" priority="1">
      <formula>$C$7&lt;50000</formula>
    </cfRule>
  </conditionalFormatting>
  <conditionalFormatting sqref="H13">
    <cfRule type="cellIs" dxfId="52" priority="5" operator="greaterThanOrEqual">
      <formula>$K$20</formula>
    </cfRule>
  </conditionalFormatting>
  <conditionalFormatting sqref="H19">
    <cfRule type="cellIs" dxfId="51" priority="4" operator="greaterThanOrEqual">
      <formula>$K$20</formula>
    </cfRule>
  </conditionalFormatting>
  <conditionalFormatting sqref="M13">
    <cfRule type="expression" dxfId="50" priority="14">
      <formula>#REF!&lt;70000</formula>
    </cfRule>
  </conditionalFormatting>
  <conditionalFormatting sqref="M19">
    <cfRule type="expression" dxfId="49" priority="10">
      <formula>#REF!&lt;70000</formula>
    </cfRule>
  </conditionalFormatting>
  <conditionalFormatting sqref="N14:O14 M15">
    <cfRule type="expression" dxfId="48" priority="15">
      <formula>#REF!&lt;30%</formula>
    </cfRule>
  </conditionalFormatting>
  <conditionalFormatting sqref="N20:O20">
    <cfRule type="expression" dxfId="47" priority="11">
      <formula>#REF!&lt;30%</formula>
    </cfRule>
  </conditionalFormatting>
  <hyperlinks>
    <hyperlink ref="I1" location="试算路径及方案简述!A1" display="返回" xr:uid="{00000000-0004-0000-0600-000000000000}"/>
  </hyperlinks>
  <pageMargins left="0.7" right="0.7" top="0.75" bottom="0.75" header="0.3" footer="0.3"/>
  <pageSetup paperSize="9" orientation="portrait" horizontalDpi="300" verticalDpi="0" copies="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sheetPr>
  <dimension ref="B1:O79"/>
  <sheetViews>
    <sheetView topLeftCell="A5" zoomScale="60" zoomScaleNormal="60" workbookViewId="0">
      <selection activeCell="L18" sqref="L18:M18"/>
    </sheetView>
  </sheetViews>
  <sheetFormatPr defaultColWidth="8.9140625" defaultRowHeight="20" customHeight="1"/>
  <cols>
    <col min="1" max="1" width="1.6640625" style="67" customWidth="1"/>
    <col min="2" max="2" width="24.25" style="68" customWidth="1"/>
    <col min="3" max="3" width="16.4140625" style="67" customWidth="1"/>
    <col min="4" max="5" width="17.4140625" style="67" customWidth="1"/>
    <col min="6" max="6" width="16.6640625" style="67" customWidth="1"/>
    <col min="7" max="8" width="16.6640625" style="68" customWidth="1"/>
    <col min="9" max="9" width="64.6640625" style="67" customWidth="1"/>
    <col min="10" max="10" width="5.75" style="67" customWidth="1"/>
    <col min="11" max="11" width="13.25" style="69" customWidth="1"/>
    <col min="12" max="12" width="11.75" style="67" customWidth="1"/>
    <col min="13" max="13" width="6.58203125" style="67" customWidth="1"/>
    <col min="14" max="14" width="13.75" style="67" customWidth="1"/>
    <col min="15" max="15" width="26" style="67" customWidth="1"/>
    <col min="16" max="16" width="2.33203125" style="67" customWidth="1"/>
    <col min="17" max="17" width="8.9140625" style="67"/>
    <col min="18" max="19" width="11.25" style="67" customWidth="1"/>
    <col min="20" max="16384" width="8.9140625" style="67"/>
  </cols>
  <sheetData>
    <row r="1" spans="2:15" ht="61" customHeight="1">
      <c r="I1" s="294" t="s">
        <v>68</v>
      </c>
    </row>
    <row r="2" spans="2:15" ht="19" customHeight="1">
      <c r="B2" s="329" t="s">
        <v>33</v>
      </c>
      <c r="C2" s="330"/>
      <c r="L2" s="576"/>
    </row>
    <row r="3" spans="2:15" ht="35.5" hidden="1" customHeight="1">
      <c r="B3" s="7" t="s">
        <v>369</v>
      </c>
      <c r="C3" s="331">
        <v>9.7000000000000003E-2</v>
      </c>
      <c r="D3" s="332"/>
      <c r="E3" s="333"/>
      <c r="F3" s="333"/>
      <c r="L3" s="576"/>
    </row>
    <row r="4" spans="2:15" ht="30" customHeight="1">
      <c r="B4" s="7" t="s">
        <v>370</v>
      </c>
      <c r="C4" s="334">
        <v>356300</v>
      </c>
      <c r="D4" s="335"/>
      <c r="E4" s="575"/>
      <c r="F4" s="575"/>
      <c r="G4" s="575"/>
      <c r="H4" s="575"/>
      <c r="I4" s="575"/>
    </row>
    <row r="5" spans="2:15" ht="34" customHeight="1">
      <c r="B5" s="55" t="s">
        <v>63</v>
      </c>
      <c r="C5" s="334">
        <v>42000</v>
      </c>
      <c r="D5" s="335"/>
      <c r="E5" s="333"/>
      <c r="F5" s="333"/>
    </row>
    <row r="6" spans="2:15" ht="30" customHeight="1">
      <c r="B6" s="336" t="s">
        <v>19</v>
      </c>
      <c r="C6" s="337">
        <f>C4+C5</f>
        <v>398300</v>
      </c>
      <c r="D6" s="335"/>
      <c r="E6" s="333"/>
      <c r="F6" s="333"/>
    </row>
    <row r="7" spans="2:15" ht="30" customHeight="1">
      <c r="B7" s="55" t="s">
        <v>433</v>
      </c>
      <c r="C7" s="334">
        <v>200000</v>
      </c>
      <c r="D7" s="577" t="s">
        <v>371</v>
      </c>
      <c r="E7" s="578"/>
      <c r="F7" s="578"/>
    </row>
    <row r="8" spans="2:15" ht="30" customHeight="1">
      <c r="B8" s="338" t="s">
        <v>21</v>
      </c>
      <c r="C8" s="337">
        <f>C6-C7</f>
        <v>198300</v>
      </c>
      <c r="D8" s="97"/>
    </row>
    <row r="9" spans="2:15" ht="30" customHeight="1">
      <c r="B9" s="339" t="s">
        <v>22</v>
      </c>
      <c r="C9" s="340">
        <f>C8/C6</f>
        <v>0.49786593020336428</v>
      </c>
      <c r="D9" s="579" t="s">
        <v>372</v>
      </c>
      <c r="E9" s="580"/>
    </row>
    <row r="10" spans="2:15" ht="11" customHeight="1"/>
    <row r="11" spans="2:15" ht="30" customHeight="1">
      <c r="B11" s="72" t="s">
        <v>34</v>
      </c>
      <c r="E11" s="72"/>
      <c r="F11" s="72"/>
      <c r="I11" s="68"/>
      <c r="J11" s="68"/>
      <c r="K11" s="72"/>
      <c r="L11" s="83" t="s">
        <v>229</v>
      </c>
    </row>
    <row r="12" spans="2:15" ht="30" customHeight="1">
      <c r="B12" s="341" t="s">
        <v>36</v>
      </c>
      <c r="C12" s="342" t="s">
        <v>24</v>
      </c>
      <c r="D12" s="343" t="s">
        <v>25</v>
      </c>
      <c r="E12" s="344" t="s">
        <v>102</v>
      </c>
      <c r="F12" s="345" t="s">
        <v>103</v>
      </c>
      <c r="G12" s="345" t="s">
        <v>104</v>
      </c>
      <c r="H12" s="346" t="s">
        <v>373</v>
      </c>
      <c r="I12" s="380" t="s">
        <v>398</v>
      </c>
      <c r="J12" s="347"/>
      <c r="K12" s="348" t="s">
        <v>27</v>
      </c>
      <c r="L12" s="581">
        <v>12</v>
      </c>
      <c r="M12" s="582"/>
      <c r="N12" s="90" t="s">
        <v>65</v>
      </c>
      <c r="O12" s="91"/>
    </row>
    <row r="13" spans="2:15" ht="39" customHeight="1">
      <c r="B13" s="349" t="s">
        <v>381</v>
      </c>
      <c r="C13" s="350" t="s">
        <v>26</v>
      </c>
      <c r="D13" s="351">
        <f>ROUNDUP(PMT($C$3/12,60,-$C$7),2)</f>
        <v>4219.95</v>
      </c>
      <c r="E13" s="352">
        <f>D13*60-C7</f>
        <v>53197</v>
      </c>
      <c r="F13" s="353">
        <f>RATE(60,-D13,$C$7)*12</f>
        <v>9.700033322392182E-2</v>
      </c>
      <c r="G13" s="353">
        <f>E13/$C$7/5</f>
        <v>5.3197000000000008E-2</v>
      </c>
      <c r="H13" s="354">
        <f>E13/$C$7</f>
        <v>0.26598500000000003</v>
      </c>
      <c r="I13" s="355" t="s">
        <v>382</v>
      </c>
      <c r="J13" s="82"/>
      <c r="K13" s="348" t="s">
        <v>29</v>
      </c>
      <c r="L13" s="583">
        <f>C7-(D13*L12-L15)</f>
        <v>167333.70166317499</v>
      </c>
      <c r="M13" s="584"/>
      <c r="N13" s="92"/>
      <c r="O13" s="91"/>
    </row>
    <row r="14" spans="2:15" ht="30" customHeight="1">
      <c r="B14" s="572"/>
      <c r="C14" s="572"/>
      <c r="D14" s="356"/>
      <c r="G14" s="67"/>
      <c r="H14" s="67"/>
      <c r="K14" s="348" t="s">
        <v>110</v>
      </c>
      <c r="L14" s="573">
        <f>E13-L15</f>
        <v>35223.898336825019</v>
      </c>
      <c r="M14" s="574"/>
      <c r="N14" s="92"/>
      <c r="O14" s="91"/>
    </row>
    <row r="15" spans="2:15" ht="14" customHeight="1">
      <c r="B15" s="357"/>
      <c r="G15" s="67"/>
      <c r="H15" s="67"/>
      <c r="K15" s="96" t="s">
        <v>111</v>
      </c>
      <c r="L15" s="585">
        <f>(C7*(F13/12)-D13)*((1+(F13/12))^(L12)-1)/(F13/12)+(D13)*L12</f>
        <v>17973.101663174977</v>
      </c>
      <c r="M15" s="585"/>
    </row>
    <row r="16" spans="2:15" s="361" customFormat="1" ht="7" customHeight="1">
      <c r="B16" s="358"/>
      <c r="C16" s="359"/>
      <c r="D16" s="360"/>
      <c r="G16" s="362"/>
      <c r="H16" s="362"/>
      <c r="K16" s="363"/>
    </row>
    <row r="17" spans="2:15" ht="30" customHeight="1">
      <c r="B17" s="72"/>
      <c r="E17" s="72"/>
      <c r="F17" s="72"/>
      <c r="I17" s="68"/>
      <c r="J17" s="68"/>
      <c r="K17" s="72"/>
      <c r="L17" s="83" t="s">
        <v>229</v>
      </c>
    </row>
    <row r="18" spans="2:15" ht="30" customHeight="1">
      <c r="B18" s="341" t="s">
        <v>376</v>
      </c>
      <c r="C18" s="342" t="s">
        <v>24</v>
      </c>
      <c r="D18" s="343" t="s">
        <v>25</v>
      </c>
      <c r="E18" s="344" t="s">
        <v>102</v>
      </c>
      <c r="F18" s="345" t="s">
        <v>103</v>
      </c>
      <c r="G18" s="345" t="s">
        <v>104</v>
      </c>
      <c r="H18" s="346" t="s">
        <v>373</v>
      </c>
      <c r="I18" s="380" t="s">
        <v>398</v>
      </c>
      <c r="J18" s="347"/>
      <c r="K18" s="348" t="s">
        <v>27</v>
      </c>
      <c r="L18" s="581">
        <v>12</v>
      </c>
      <c r="M18" s="582"/>
      <c r="N18" s="90" t="s">
        <v>65</v>
      </c>
      <c r="O18" s="91"/>
    </row>
    <row r="19" spans="2:15" ht="40" customHeight="1">
      <c r="B19" s="349" t="s">
        <v>383</v>
      </c>
      <c r="C19" s="350" t="s">
        <v>26</v>
      </c>
      <c r="D19" s="351">
        <f>ROUNDUP(PMT($C$3/12,60,-$C$7)-G20/60,2)</f>
        <v>4218.29</v>
      </c>
      <c r="E19" s="352">
        <f>D19*60-C7</f>
        <v>53097.399999999994</v>
      </c>
      <c r="F19" s="353">
        <f>RATE(60,-D19,$C$7)*12</f>
        <v>9.6830937057772765E-2</v>
      </c>
      <c r="G19" s="353">
        <f>E19/$C$7/5</f>
        <v>5.3097399999999996E-2</v>
      </c>
      <c r="H19" s="354">
        <f>E19/$C$7</f>
        <v>0.26548699999999997</v>
      </c>
      <c r="I19" s="355" t="s">
        <v>378</v>
      </c>
      <c r="J19" s="82"/>
      <c r="K19" s="348" t="s">
        <v>29</v>
      </c>
      <c r="L19" s="583">
        <f>C7-(D19*L18-L21)</f>
        <v>167321.66556735718</v>
      </c>
      <c r="M19" s="584"/>
      <c r="N19" s="92"/>
      <c r="O19" s="91"/>
    </row>
    <row r="20" spans="2:15" ht="30" customHeight="1">
      <c r="B20" s="572"/>
      <c r="C20" s="572"/>
      <c r="D20" s="356"/>
      <c r="F20" s="364" t="s">
        <v>379</v>
      </c>
      <c r="G20" s="365">
        <v>100</v>
      </c>
      <c r="H20" s="586" t="s">
        <v>380</v>
      </c>
      <c r="I20" s="587"/>
      <c r="K20" s="348" t="s">
        <v>110</v>
      </c>
      <c r="L20" s="573">
        <f>E19-L21</f>
        <v>35156.254432642811</v>
      </c>
      <c r="M20" s="574"/>
      <c r="N20" s="92"/>
      <c r="O20" s="91"/>
    </row>
    <row r="21" spans="2:15" ht="13.5" customHeight="1">
      <c r="B21" s="357"/>
      <c r="C21" s="114"/>
      <c r="D21" s="114"/>
      <c r="L21" s="366">
        <f>(C7*(F19/12)-D19)*((1+(F19/12))^(L18)-1)/(F19/12)+(D19)*L18</f>
        <v>17941.145567357184</v>
      </c>
    </row>
    <row r="22" spans="2:15" ht="30" customHeight="1">
      <c r="B22" s="114"/>
      <c r="C22" s="114"/>
      <c r="D22" s="114"/>
    </row>
    <row r="23" spans="2:15" ht="30" customHeight="1">
      <c r="B23" s="114"/>
      <c r="C23" s="114"/>
      <c r="D23" s="114"/>
    </row>
    <row r="24" spans="2:15" ht="30" customHeight="1">
      <c r="B24" s="114"/>
      <c r="C24" s="116"/>
      <c r="D24" s="114"/>
    </row>
    <row r="25" spans="2:15" ht="30" customHeight="1">
      <c r="B25" s="114"/>
      <c r="C25" s="131"/>
      <c r="D25" s="116"/>
    </row>
    <row r="26" spans="2:15" ht="30" customHeight="1">
      <c r="B26" s="114"/>
      <c r="C26" s="116"/>
      <c r="D26" s="131"/>
    </row>
    <row r="27" spans="2:15" ht="30" customHeight="1">
      <c r="B27" s="114"/>
      <c r="C27" s="114"/>
      <c r="D27" s="116"/>
    </row>
    <row r="28" spans="2:15" ht="30" customHeight="1">
      <c r="B28" s="114"/>
      <c r="C28" s="116"/>
      <c r="D28" s="114"/>
    </row>
    <row r="29" spans="2:15" ht="20" customHeight="1">
      <c r="B29" s="114"/>
      <c r="C29" s="131"/>
      <c r="D29" s="116"/>
    </row>
    <row r="30" spans="2:15" ht="20" customHeight="1">
      <c r="B30" s="114"/>
      <c r="C30" s="131"/>
      <c r="D30" s="131"/>
    </row>
    <row r="31" spans="2:15" ht="20" customHeight="1">
      <c r="B31" s="114"/>
      <c r="C31" s="131"/>
      <c r="D31" s="131"/>
    </row>
    <row r="32" spans="2:15" ht="20" customHeight="1">
      <c r="B32" s="114"/>
      <c r="C32" s="131"/>
      <c r="D32" s="131"/>
    </row>
    <row r="33" spans="2:4" ht="20" customHeight="1">
      <c r="B33" s="114"/>
      <c r="C33" s="131"/>
      <c r="D33" s="131"/>
    </row>
    <row r="34" spans="2:4" ht="20" customHeight="1">
      <c r="B34" s="114"/>
      <c r="C34" s="131"/>
      <c r="D34" s="131"/>
    </row>
    <row r="35" spans="2:4" ht="20" customHeight="1">
      <c r="B35" s="114"/>
      <c r="C35" s="131"/>
      <c r="D35" s="131"/>
    </row>
    <row r="36" spans="2:4" ht="20" customHeight="1">
      <c r="B36" s="114"/>
      <c r="C36" s="131"/>
      <c r="D36" s="131"/>
    </row>
    <row r="37" spans="2:4" ht="20" customHeight="1">
      <c r="B37" s="114"/>
      <c r="C37" s="131"/>
      <c r="D37" s="131"/>
    </row>
    <row r="38" spans="2:4" ht="20" customHeight="1">
      <c r="B38" s="114"/>
      <c r="C38" s="131"/>
      <c r="D38" s="131"/>
    </row>
    <row r="39" spans="2:4" ht="20" customHeight="1">
      <c r="B39" s="114"/>
      <c r="C39" s="131"/>
      <c r="D39" s="131"/>
    </row>
    <row r="40" spans="2:4" ht="20" customHeight="1">
      <c r="B40" s="114"/>
      <c r="C40" s="131"/>
      <c r="D40" s="131"/>
    </row>
    <row r="41" spans="2:4" ht="20" customHeight="1">
      <c r="B41" s="114"/>
      <c r="C41" s="131"/>
      <c r="D41" s="131"/>
    </row>
    <row r="42" spans="2:4" ht="20" customHeight="1">
      <c r="B42" s="114"/>
      <c r="C42" s="131"/>
      <c r="D42" s="131"/>
    </row>
    <row r="43" spans="2:4" ht="20" customHeight="1">
      <c r="B43" s="114"/>
      <c r="C43" s="131"/>
      <c r="D43" s="131"/>
    </row>
    <row r="44" spans="2:4" ht="20" customHeight="1">
      <c r="B44" s="114"/>
      <c r="C44" s="131"/>
      <c r="D44" s="131"/>
    </row>
    <row r="45" spans="2:4" ht="20" customHeight="1">
      <c r="B45" s="114"/>
      <c r="C45" s="131"/>
      <c r="D45" s="131"/>
    </row>
    <row r="46" spans="2:4" ht="20" customHeight="1">
      <c r="B46" s="114"/>
      <c r="C46" s="131"/>
      <c r="D46" s="131"/>
    </row>
    <row r="47" spans="2:4" ht="20" customHeight="1">
      <c r="B47" s="114"/>
      <c r="C47" s="131"/>
      <c r="D47" s="131"/>
    </row>
    <row r="48" spans="2:4" ht="20" customHeight="1">
      <c r="B48" s="114"/>
      <c r="C48" s="131"/>
      <c r="D48" s="131"/>
    </row>
    <row r="49" spans="2:4" ht="20" customHeight="1">
      <c r="B49" s="114"/>
      <c r="C49" s="131"/>
      <c r="D49" s="131"/>
    </row>
    <row r="50" spans="2:4" ht="20" customHeight="1">
      <c r="B50" s="114"/>
      <c r="C50" s="131"/>
      <c r="D50" s="131"/>
    </row>
    <row r="51" spans="2:4" ht="20" customHeight="1">
      <c r="B51" s="114"/>
      <c r="C51" s="131"/>
      <c r="D51" s="131"/>
    </row>
    <row r="52" spans="2:4" ht="20" customHeight="1">
      <c r="B52" s="114"/>
      <c r="C52" s="131"/>
      <c r="D52" s="131"/>
    </row>
    <row r="53" spans="2:4" ht="20" customHeight="1">
      <c r="B53" s="114"/>
      <c r="C53" s="131"/>
      <c r="D53" s="131"/>
    </row>
    <row r="54" spans="2:4" ht="20" customHeight="1">
      <c r="B54" s="114"/>
      <c r="C54" s="131"/>
      <c r="D54" s="131"/>
    </row>
    <row r="55" spans="2:4" ht="20" customHeight="1">
      <c r="B55" s="114"/>
      <c r="C55" s="131"/>
      <c r="D55" s="131"/>
    </row>
    <row r="56" spans="2:4" ht="20" customHeight="1">
      <c r="B56" s="114"/>
      <c r="C56" s="131"/>
      <c r="D56" s="131"/>
    </row>
    <row r="57" spans="2:4" ht="20" customHeight="1">
      <c r="B57" s="114"/>
      <c r="C57" s="131"/>
      <c r="D57" s="131"/>
    </row>
    <row r="58" spans="2:4" ht="20" customHeight="1">
      <c r="B58" s="114"/>
      <c r="C58" s="131"/>
      <c r="D58" s="131"/>
    </row>
    <row r="59" spans="2:4" ht="20" customHeight="1">
      <c r="B59" s="114"/>
      <c r="C59" s="131"/>
      <c r="D59" s="131"/>
    </row>
    <row r="60" spans="2:4" ht="20" customHeight="1">
      <c r="B60" s="114"/>
      <c r="C60" s="131"/>
      <c r="D60" s="131"/>
    </row>
    <row r="61" spans="2:4" ht="20" customHeight="1">
      <c r="B61" s="114"/>
      <c r="C61" s="131"/>
      <c r="D61" s="131"/>
    </row>
    <row r="62" spans="2:4" ht="20" customHeight="1">
      <c r="B62" s="114"/>
      <c r="C62" s="131"/>
      <c r="D62" s="131"/>
    </row>
    <row r="63" spans="2:4" ht="20" customHeight="1">
      <c r="B63" s="114"/>
      <c r="C63" s="131"/>
      <c r="D63" s="131"/>
    </row>
    <row r="64" spans="2:4" ht="20" customHeight="1">
      <c r="B64" s="114"/>
      <c r="C64" s="131"/>
      <c r="D64" s="131"/>
    </row>
    <row r="65" spans="2:4" ht="20" customHeight="1">
      <c r="B65" s="114"/>
      <c r="C65" s="131"/>
      <c r="D65" s="131"/>
    </row>
    <row r="66" spans="2:4" ht="20" customHeight="1">
      <c r="B66" s="114"/>
      <c r="C66" s="131"/>
      <c r="D66" s="131"/>
    </row>
    <row r="67" spans="2:4" ht="20" customHeight="1">
      <c r="B67" s="114"/>
      <c r="C67" s="131"/>
      <c r="D67" s="131"/>
    </row>
    <row r="68" spans="2:4" ht="20" customHeight="1">
      <c r="B68" s="114"/>
      <c r="C68" s="131"/>
      <c r="D68" s="131"/>
    </row>
    <row r="69" spans="2:4" ht="20" customHeight="1">
      <c r="B69" s="114"/>
      <c r="C69" s="131"/>
      <c r="D69" s="131"/>
    </row>
    <row r="70" spans="2:4" ht="20" customHeight="1">
      <c r="B70" s="114"/>
      <c r="C70" s="131"/>
      <c r="D70" s="131"/>
    </row>
    <row r="71" spans="2:4" ht="20" customHeight="1">
      <c r="B71" s="114"/>
      <c r="C71" s="131"/>
      <c r="D71" s="131"/>
    </row>
    <row r="72" spans="2:4" ht="20" customHeight="1">
      <c r="B72" s="114"/>
      <c r="C72" s="131"/>
      <c r="D72" s="131"/>
    </row>
    <row r="73" spans="2:4" ht="20" customHeight="1">
      <c r="B73" s="114"/>
      <c r="C73" s="131"/>
      <c r="D73" s="131"/>
    </row>
    <row r="74" spans="2:4" ht="20" customHeight="1">
      <c r="B74" s="114"/>
      <c r="C74" s="131"/>
      <c r="D74" s="131"/>
    </row>
    <row r="75" spans="2:4" ht="20" customHeight="1">
      <c r="B75" s="114"/>
      <c r="C75" s="131"/>
      <c r="D75" s="131"/>
    </row>
    <row r="76" spans="2:4" ht="20" customHeight="1">
      <c r="B76" s="114"/>
      <c r="C76" s="131"/>
      <c r="D76" s="131"/>
    </row>
    <row r="77" spans="2:4" ht="20" customHeight="1">
      <c r="B77" s="114"/>
      <c r="C77" s="131"/>
      <c r="D77" s="131"/>
    </row>
    <row r="78" spans="2:4" ht="20" customHeight="1">
      <c r="B78" s="114"/>
      <c r="C78" s="131"/>
      <c r="D78" s="131"/>
    </row>
    <row r="79" spans="2:4" ht="20" customHeight="1">
      <c r="D79" s="131"/>
    </row>
  </sheetData>
  <sheetProtection algorithmName="SHA-512" hashValue="xp4znF0nYUBmkk8KG496Fw7ClfRo4vWfAl6HNLx+shc33CVLNqbftJD7L4HuL5m3FLcvJ0j4LvQ4Oflqy00PTw==" saltValue="mb3NCaF3CF2Yg2PrnppZxg==" spinCount="100000" sheet="1" objects="1" scenarios="1"/>
  <mergeCells count="14">
    <mergeCell ref="L15:M15"/>
    <mergeCell ref="L18:M18"/>
    <mergeCell ref="L19:M19"/>
    <mergeCell ref="B20:C20"/>
    <mergeCell ref="H20:I20"/>
    <mergeCell ref="L20:M20"/>
    <mergeCell ref="B14:C14"/>
    <mergeCell ref="L14:M14"/>
    <mergeCell ref="E4:I4"/>
    <mergeCell ref="L2:L3"/>
    <mergeCell ref="D7:F7"/>
    <mergeCell ref="D9:E9"/>
    <mergeCell ref="L12:M12"/>
    <mergeCell ref="L13:M13"/>
  </mergeCells>
  <phoneticPr fontId="3" type="noConversion"/>
  <conditionalFormatting sqref="C7">
    <cfRule type="expression" dxfId="46" priority="3">
      <formula>$C$7&lt;50000</formula>
    </cfRule>
  </conditionalFormatting>
  <conditionalFormatting sqref="C9">
    <cfRule type="expression" dxfId="45" priority="13">
      <formula>$C$9&lt;15%</formula>
    </cfRule>
  </conditionalFormatting>
  <conditionalFormatting sqref="C19:G19 I19 G20">
    <cfRule type="expression" dxfId="44" priority="10">
      <formula>$G$20&lt;100</formula>
    </cfRule>
  </conditionalFormatting>
  <conditionalFormatting sqref="D7">
    <cfRule type="expression" dxfId="43" priority="4">
      <formula>$C$7&gt;=$C$4</formula>
    </cfRule>
  </conditionalFormatting>
  <conditionalFormatting sqref="D13:H13">
    <cfRule type="expression" dxfId="42" priority="2">
      <formula>$C$7&lt;50000</formula>
    </cfRule>
  </conditionalFormatting>
  <conditionalFormatting sqref="D19:H19">
    <cfRule type="expression" dxfId="41" priority="1">
      <formula>$C$7&lt;50000</formula>
    </cfRule>
  </conditionalFormatting>
  <conditionalFormatting sqref="H13">
    <cfRule type="cellIs" dxfId="40" priority="6" operator="greaterThanOrEqual">
      <formula>$K$20</formula>
    </cfRule>
  </conditionalFormatting>
  <conditionalFormatting sqref="H19">
    <cfRule type="cellIs" dxfId="39" priority="5" operator="greaterThanOrEqual">
      <formula>$K$20</formula>
    </cfRule>
  </conditionalFormatting>
  <conditionalFormatting sqref="M13">
    <cfRule type="expression" dxfId="38" priority="14">
      <formula>#REF!&lt;70000</formula>
    </cfRule>
  </conditionalFormatting>
  <conditionalFormatting sqref="M19">
    <cfRule type="expression" dxfId="37" priority="11">
      <formula>#REF!&lt;70000</formula>
    </cfRule>
  </conditionalFormatting>
  <conditionalFormatting sqref="N14:O14 M15">
    <cfRule type="expression" dxfId="36" priority="15">
      <formula>#REF!&lt;30%</formula>
    </cfRule>
  </conditionalFormatting>
  <conditionalFormatting sqref="N20:O20">
    <cfRule type="expression" dxfId="35" priority="12">
      <formula>#REF!&lt;30%</formula>
    </cfRule>
  </conditionalFormatting>
  <hyperlinks>
    <hyperlink ref="I1" location="试算路径及方案简述!A1" display="返回" xr:uid="{00000000-0004-0000-0700-000000000000}"/>
  </hyperlinks>
  <pageMargins left="0.7" right="0.7" top="0.75" bottom="0.75" header="0.3" footer="0.3"/>
  <pageSetup paperSize="9" orientation="portrait" horizontalDpi="300" verticalDpi="0" copies="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39997558519241921"/>
  </sheetPr>
  <dimension ref="B1:AD90"/>
  <sheetViews>
    <sheetView topLeftCell="E1" zoomScale="50" zoomScaleNormal="50" workbookViewId="0">
      <selection activeCell="AA4" sqref="AA4:AB4"/>
    </sheetView>
  </sheetViews>
  <sheetFormatPr defaultColWidth="8.9140625" defaultRowHeight="20" customHeight="1"/>
  <cols>
    <col min="1" max="1" width="1.6640625" style="67" customWidth="1"/>
    <col min="2" max="2" width="23" style="67" customWidth="1"/>
    <col min="3" max="3" width="28.75" style="67" customWidth="1"/>
    <col min="4" max="4" width="2.33203125" style="67" customWidth="1"/>
    <col min="5" max="5" width="18.75" style="68" customWidth="1"/>
    <col min="6" max="6" width="10.25" style="67" customWidth="1"/>
    <col min="7" max="7" width="13.4140625" style="68" customWidth="1"/>
    <col min="8" max="8" width="16.25" style="67" customWidth="1"/>
    <col min="9" max="9" width="8.4140625" style="67" customWidth="1"/>
    <col min="10" max="10" width="16.4140625" style="68" customWidth="1"/>
    <col min="11" max="11" width="20.33203125" style="68" customWidth="1"/>
    <col min="12" max="12" width="19.25" style="67" customWidth="1"/>
    <col min="13" max="13" width="19.25" style="69" customWidth="1"/>
    <col min="14" max="14" width="17.6640625" style="69" customWidth="1"/>
    <col min="15" max="15" width="16.4140625" style="68" customWidth="1"/>
    <col min="16" max="16" width="57.75" style="67" customWidth="1"/>
    <col min="17" max="18" width="5.4140625" style="67" customWidth="1"/>
    <col min="19" max="20" width="0" style="67" hidden="1" customWidth="1"/>
    <col min="21" max="21" width="16.9140625" style="67" hidden="1" customWidth="1"/>
    <col min="22" max="24" width="0" style="67" hidden="1" customWidth="1"/>
    <col min="25" max="25" width="2.33203125" style="67" customWidth="1"/>
    <col min="26" max="26" width="8.9140625" style="67"/>
    <col min="27" max="28" width="11.25" style="67" customWidth="1"/>
    <col min="29" max="29" width="13.75" style="67" customWidth="1"/>
    <col min="30" max="16384" width="8.9140625" style="67"/>
  </cols>
  <sheetData>
    <row r="1" spans="2:30" ht="88" customHeight="1">
      <c r="P1" s="211" t="s">
        <v>68</v>
      </c>
      <c r="Z1" s="70"/>
    </row>
    <row r="2" spans="2:30" ht="20" customHeight="1" thickBot="1">
      <c r="B2" s="71" t="s">
        <v>33</v>
      </c>
      <c r="E2" s="72" t="s">
        <v>34</v>
      </c>
      <c r="H2" s="72"/>
      <c r="I2" s="72"/>
      <c r="P2" s="70"/>
    </row>
    <row r="3" spans="2:30" ht="40" customHeight="1">
      <c r="B3" s="628" t="s">
        <v>64</v>
      </c>
      <c r="C3" s="629">
        <v>275900</v>
      </c>
      <c r="D3" s="73"/>
      <c r="E3" s="74" t="s">
        <v>100</v>
      </c>
      <c r="F3" s="75" t="s">
        <v>22</v>
      </c>
      <c r="G3" s="76" t="s">
        <v>21</v>
      </c>
      <c r="H3" s="77" t="s">
        <v>434</v>
      </c>
      <c r="I3" s="77" t="s">
        <v>24</v>
      </c>
      <c r="J3" s="78" t="s">
        <v>25</v>
      </c>
      <c r="K3" s="79" t="s">
        <v>102</v>
      </c>
      <c r="L3" s="80" t="s">
        <v>103</v>
      </c>
      <c r="M3" s="81" t="s">
        <v>104</v>
      </c>
      <c r="N3" s="81" t="s">
        <v>105</v>
      </c>
      <c r="O3" s="591" t="s">
        <v>397</v>
      </c>
      <c r="P3" s="592"/>
      <c r="Y3" s="82"/>
      <c r="Z3" s="83"/>
      <c r="AA3" s="83" t="s">
        <v>107</v>
      </c>
    </row>
    <row r="4" spans="2:30" ht="30" customHeight="1">
      <c r="B4" s="609"/>
      <c r="C4" s="630"/>
      <c r="D4" s="73"/>
      <c r="E4" s="594" t="s">
        <v>108</v>
      </c>
      <c r="F4" s="596">
        <f>G4/C9</f>
        <v>0.81877491844871331</v>
      </c>
      <c r="G4" s="598">
        <f>C9-H4</f>
        <v>225900</v>
      </c>
      <c r="H4" s="588">
        <v>50000</v>
      </c>
      <c r="I4" s="84" t="s">
        <v>26</v>
      </c>
      <c r="J4" s="85">
        <f>ROUNDUP(PMT($C$7/12,60,-$H$4)-C16/60,2)</f>
        <v>1037.44</v>
      </c>
      <c r="K4" s="86">
        <f>J4*60-H4</f>
        <v>12246.400000000001</v>
      </c>
      <c r="L4" s="87">
        <f>RATE(60,-J4,$H$4)*12</f>
        <v>8.980309274337743E-2</v>
      </c>
      <c r="M4" s="87">
        <f>K4/$H$4/5</f>
        <v>4.8985600000000004E-2</v>
      </c>
      <c r="N4" s="87">
        <f>K4/$H$4</f>
        <v>0.24492800000000003</v>
      </c>
      <c r="O4" s="631" t="str">
        <f>VLOOKUP(C7,'参数-非厂贴方案配置'!A4:I6,2,0)</f>
        <v>个人申请：8.98新通用 新优速贷/个体工商户升级 非贴息_12-60期
企业申请：8.98新通用 新公牌易贷/个体工商户  非贴息_12-60期
企业商用：8.98新通用_营运租赁_非贴息_12-36期</v>
      </c>
      <c r="P4" s="632"/>
      <c r="Y4" s="88"/>
      <c r="Z4" s="89" t="s">
        <v>27</v>
      </c>
      <c r="AA4" s="581">
        <v>24</v>
      </c>
      <c r="AB4" s="582"/>
      <c r="AC4" s="90" t="s">
        <v>45</v>
      </c>
      <c r="AD4" s="91"/>
    </row>
    <row r="5" spans="2:30" ht="30" customHeight="1">
      <c r="B5" s="609" t="s">
        <v>109</v>
      </c>
      <c r="C5" s="630">
        <v>0</v>
      </c>
      <c r="D5" s="73"/>
      <c r="E5" s="594"/>
      <c r="F5" s="596"/>
      <c r="G5" s="598"/>
      <c r="H5" s="588"/>
      <c r="I5" s="84" t="s">
        <v>28</v>
      </c>
      <c r="J5" s="85">
        <f>ROUNDUP(PMT($C$7/12,48,-$H$4)-C16/48,2)</f>
        <v>1243.78</v>
      </c>
      <c r="K5" s="86">
        <f>J5*48-H4</f>
        <v>9701.4400000000023</v>
      </c>
      <c r="L5" s="87">
        <f>RATE(48,-J5,$H$4)*12</f>
        <v>8.9801121204045237E-2</v>
      </c>
      <c r="M5" s="87">
        <f>K5/$H$4/4</f>
        <v>4.8507200000000014E-2</v>
      </c>
      <c r="N5" s="87">
        <f t="shared" ref="N5:N7" si="0">K5/$H$4</f>
        <v>0.19402880000000006</v>
      </c>
      <c r="O5" s="631"/>
      <c r="P5" s="632"/>
      <c r="Y5" s="88"/>
      <c r="Z5" s="89" t="s">
        <v>29</v>
      </c>
      <c r="AA5" s="583">
        <f>H4-(J4*AA4-AA7)</f>
        <v>32633.577446927484</v>
      </c>
      <c r="AB5" s="584"/>
      <c r="AC5" s="92"/>
      <c r="AD5" s="91"/>
    </row>
    <row r="6" spans="2:30" ht="30" customHeight="1">
      <c r="B6" s="609"/>
      <c r="C6" s="630"/>
      <c r="D6" s="93"/>
      <c r="E6" s="594"/>
      <c r="F6" s="596"/>
      <c r="G6" s="598"/>
      <c r="H6" s="588"/>
      <c r="I6" s="84" t="s">
        <v>30</v>
      </c>
      <c r="J6" s="85">
        <f>ROUNDUP(PMT($C$7/12,36,-$H$4)-C16/36,2)</f>
        <v>1589.53</v>
      </c>
      <c r="K6" s="86">
        <f>J6*36-H4</f>
        <v>7223.0800000000017</v>
      </c>
      <c r="L6" s="87">
        <f>RATE(36,-J6,$H$4)*12</f>
        <v>8.9803755999331214E-2</v>
      </c>
      <c r="M6" s="87">
        <f>K6/$H$4/3</f>
        <v>4.8153866666666677E-2</v>
      </c>
      <c r="N6" s="87">
        <f t="shared" si="0"/>
        <v>0.14446160000000002</v>
      </c>
      <c r="O6" s="631"/>
      <c r="P6" s="632"/>
      <c r="Y6" s="94"/>
      <c r="Z6" s="89" t="s">
        <v>110</v>
      </c>
      <c r="AA6" s="573">
        <f>K4-AA7</f>
        <v>4714.2625530725163</v>
      </c>
      <c r="AB6" s="574"/>
      <c r="AC6" s="92"/>
      <c r="AD6" s="91"/>
    </row>
    <row r="7" spans="2:30" ht="30" customHeight="1">
      <c r="B7" s="608" t="s">
        <v>468</v>
      </c>
      <c r="C7" s="610">
        <v>8.9800000000000005E-2</v>
      </c>
      <c r="D7" s="95"/>
      <c r="E7" s="594"/>
      <c r="F7" s="596"/>
      <c r="G7" s="598"/>
      <c r="H7" s="588"/>
      <c r="I7" s="84" t="s">
        <v>32</v>
      </c>
      <c r="J7" s="85">
        <f>ROUNDUP(PMT($C$7/12,24,-$H$4)-C16/24,2)</f>
        <v>2283.7800000000002</v>
      </c>
      <c r="K7" s="86">
        <f>J7*24-H4</f>
        <v>4810.7200000000012</v>
      </c>
      <c r="L7" s="87">
        <f>RATE(24,-J7,$H$4)*12</f>
        <v>8.9800731111924131E-2</v>
      </c>
      <c r="M7" s="87">
        <f>K7/$H$4/2</f>
        <v>4.810720000000001E-2</v>
      </c>
      <c r="N7" s="87">
        <f t="shared" si="0"/>
        <v>9.6214400000000019E-2</v>
      </c>
      <c r="O7" s="631"/>
      <c r="P7" s="632"/>
      <c r="Y7" s="94"/>
      <c r="Z7" s="96" t="s">
        <v>111</v>
      </c>
      <c r="AA7" s="585">
        <f>(H4*(L4/12)-J4)*((1+(L4/12))^(AA4)-1)/(L4/12)+(J4)*AA4</f>
        <v>7532.1374469274851</v>
      </c>
      <c r="AB7" s="585"/>
    </row>
    <row r="8" spans="2:30" ht="30" customHeight="1">
      <c r="B8" s="609"/>
      <c r="C8" s="610"/>
      <c r="D8" s="97"/>
      <c r="E8" s="594"/>
      <c r="F8" s="596"/>
      <c r="G8" s="598"/>
      <c r="H8" s="588"/>
      <c r="I8" s="84" t="s">
        <v>112</v>
      </c>
      <c r="J8" s="85">
        <f>ROUNDUP(PMT($C$7/12,18,-$H$4)-C16/18,2)</f>
        <v>2979.4300000000003</v>
      </c>
      <c r="K8" s="86">
        <f>J8*18-H4</f>
        <v>3629.7400000000052</v>
      </c>
      <c r="L8" s="87">
        <f>RATE(18,-J8,$H$4)*12</f>
        <v>8.9802250166713449E-2</v>
      </c>
      <c r="M8" s="87">
        <f>K8/$H$4/1.5</f>
        <v>4.8396533333333401E-2</v>
      </c>
      <c r="N8" s="87">
        <f>K8/$H$4</f>
        <v>7.2594800000000098E-2</v>
      </c>
      <c r="O8" s="631"/>
      <c r="P8" s="632"/>
      <c r="Y8" s="94"/>
    </row>
    <row r="9" spans="2:30" ht="30" customHeight="1" thickBot="1">
      <c r="B9" s="635" t="s">
        <v>113</v>
      </c>
      <c r="C9" s="637">
        <f>C3+C5</f>
        <v>275900</v>
      </c>
      <c r="D9" s="97"/>
      <c r="E9" s="595"/>
      <c r="F9" s="597"/>
      <c r="G9" s="599"/>
      <c r="H9" s="590"/>
      <c r="I9" s="98" t="s">
        <v>38</v>
      </c>
      <c r="J9" s="99">
        <f>ROUNDUP(PMT($C$7/12,12,-$H$4)-C16/12,2)</f>
        <v>4372.12</v>
      </c>
      <c r="K9" s="100">
        <f>J9*12-H4</f>
        <v>2465.4400000000023</v>
      </c>
      <c r="L9" s="101">
        <f>RATE(12,-J9,$H$4)*12</f>
        <v>8.9804260176275214E-2</v>
      </c>
      <c r="M9" s="101">
        <f>K9/$H$4/1</f>
        <v>4.9308800000000048E-2</v>
      </c>
      <c r="N9" s="101">
        <f>K9/$H$4</f>
        <v>4.9308800000000048E-2</v>
      </c>
      <c r="O9" s="633"/>
      <c r="P9" s="634"/>
    </row>
    <row r="10" spans="2:30" ht="17" customHeight="1" thickBot="1">
      <c r="B10" s="636"/>
      <c r="C10" s="638"/>
      <c r="D10" s="102"/>
    </row>
    <row r="11" spans="2:30" ht="17" customHeight="1">
      <c r="B11" s="103"/>
      <c r="C11" s="95"/>
      <c r="D11" s="102"/>
    </row>
    <row r="12" spans="2:30" s="439" customFormat="1" ht="31" customHeight="1">
      <c r="B12" s="436"/>
      <c r="C12" s="437"/>
      <c r="D12" s="102"/>
      <c r="E12" s="438"/>
      <c r="G12" s="438"/>
      <c r="J12" s="438"/>
      <c r="K12" s="438"/>
      <c r="M12" s="440"/>
      <c r="N12" s="440"/>
      <c r="O12" s="438"/>
    </row>
    <row r="13" spans="2:30" s="439" customFormat="1" ht="31" customHeight="1">
      <c r="B13" s="441"/>
      <c r="C13" s="442"/>
      <c r="D13" s="102"/>
      <c r="E13" s="438"/>
      <c r="G13" s="438"/>
      <c r="J13" s="438"/>
      <c r="K13" s="438"/>
      <c r="M13" s="440"/>
      <c r="N13" s="440"/>
      <c r="O13" s="438"/>
    </row>
    <row r="14" spans="2:30" s="439" customFormat="1" ht="31" customHeight="1">
      <c r="B14" s="622"/>
      <c r="C14" s="622"/>
      <c r="D14" s="102"/>
      <c r="E14" s="438"/>
      <c r="G14" s="438"/>
      <c r="J14" s="438"/>
      <c r="K14" s="438"/>
      <c r="M14" s="440"/>
      <c r="N14" s="440"/>
      <c r="O14" s="438"/>
    </row>
    <row r="15" spans="2:30" ht="17" customHeight="1">
      <c r="B15" s="103"/>
      <c r="C15" s="95"/>
      <c r="D15" s="102"/>
    </row>
    <row r="16" spans="2:30" ht="30" hidden="1" customHeight="1">
      <c r="B16" s="104" t="s">
        <v>114</v>
      </c>
      <c r="C16" s="104">
        <v>0</v>
      </c>
      <c r="D16" s="102"/>
      <c r="E16" s="74" t="s">
        <v>115</v>
      </c>
      <c r="F16" s="75" t="s">
        <v>22</v>
      </c>
      <c r="G16" s="76" t="s">
        <v>21</v>
      </c>
      <c r="H16" s="77" t="s">
        <v>101</v>
      </c>
      <c r="I16" s="77" t="s">
        <v>24</v>
      </c>
      <c r="J16" s="78" t="s">
        <v>25</v>
      </c>
      <c r="K16" s="105" t="s">
        <v>116</v>
      </c>
      <c r="L16" s="79" t="s">
        <v>117</v>
      </c>
      <c r="M16" s="80" t="s">
        <v>103</v>
      </c>
      <c r="N16" s="106"/>
      <c r="O16" s="81" t="s">
        <v>104</v>
      </c>
      <c r="P16" s="107" t="s">
        <v>106</v>
      </c>
      <c r="Q16" s="108"/>
      <c r="Y16" s="82"/>
      <c r="Z16" s="83" t="s">
        <v>118</v>
      </c>
    </row>
    <row r="17" spans="2:30" ht="30" hidden="1" customHeight="1">
      <c r="B17" s="109"/>
      <c r="C17" s="110"/>
      <c r="D17" s="102"/>
      <c r="E17" s="593" t="s">
        <v>119</v>
      </c>
      <c r="F17" s="596">
        <f>G17/C9</f>
        <v>0.71003986951794129</v>
      </c>
      <c r="G17" s="598">
        <f>C9-H17</f>
        <v>195900</v>
      </c>
      <c r="H17" s="588">
        <v>80000</v>
      </c>
      <c r="I17" s="84" t="s">
        <v>26</v>
      </c>
      <c r="J17" s="111">
        <f>ROUNDUP(PMT(C7/12,60,-H17,K17)-C16/60,2)</f>
        <v>927.92</v>
      </c>
      <c r="K17" s="625">
        <f>C9*20%</f>
        <v>55180</v>
      </c>
      <c r="L17" s="112">
        <f>J17*60-(H17-K17)</f>
        <v>30855.199999999997</v>
      </c>
      <c r="M17" s="87">
        <f>RATE(60,-J17,$H$17,-$K$17)*12</f>
        <v>8.9801408876667141E-2</v>
      </c>
      <c r="N17" s="87"/>
      <c r="O17" s="87">
        <f>L17/$H$17/5</f>
        <v>7.7137999999999998E-2</v>
      </c>
      <c r="P17" s="618" t="str">
        <f>VLOOKUP(C7,'参数-非厂贴方案配置'!A4:I6,3,0)</f>
        <v>无方案</v>
      </c>
      <c r="Q17" s="108"/>
      <c r="Y17" s="88"/>
      <c r="Z17" s="89" t="s">
        <v>27</v>
      </c>
      <c r="AA17" s="581">
        <v>24</v>
      </c>
      <c r="AB17" s="582"/>
      <c r="AC17" s="113" t="s">
        <v>120</v>
      </c>
      <c r="AD17" s="91"/>
    </row>
    <row r="18" spans="2:30" ht="30" hidden="1" customHeight="1">
      <c r="B18" s="114"/>
      <c r="C18" s="115"/>
      <c r="D18" s="102"/>
      <c r="E18" s="594"/>
      <c r="F18" s="596"/>
      <c r="G18" s="598"/>
      <c r="H18" s="588"/>
      <c r="I18" s="84" t="s">
        <v>28</v>
      </c>
      <c r="J18" s="111">
        <f>ROUNDUP(PMT(C7/12,48,-H17,K17)-C16/48,2)</f>
        <v>1030.3499999999999</v>
      </c>
      <c r="K18" s="625"/>
      <c r="L18" s="112">
        <f>J18*48-(H17-K17)</f>
        <v>24636.799999999996</v>
      </c>
      <c r="M18" s="87">
        <f>RATE(48,-J18,$H$17,-$K$17)*12</f>
        <v>8.9801488027967835E-2</v>
      </c>
      <c r="N18" s="87"/>
      <c r="O18" s="87">
        <f>L18/$H$17/4</f>
        <v>7.6989999999999989E-2</v>
      </c>
      <c r="P18" s="618"/>
      <c r="Q18" s="108"/>
      <c r="Y18" s="88"/>
      <c r="Z18" s="89" t="s">
        <v>29</v>
      </c>
      <c r="AA18" s="583">
        <f>H17-(J17*AA17-AA20)</f>
        <v>71379.28398501371</v>
      </c>
      <c r="AB18" s="584"/>
      <c r="AC18" s="92"/>
      <c r="AD18" s="91"/>
    </row>
    <row r="19" spans="2:30" ht="30" hidden="1" customHeight="1">
      <c r="D19" s="116"/>
      <c r="E19" s="594"/>
      <c r="F19" s="596"/>
      <c r="G19" s="598"/>
      <c r="H19" s="588"/>
      <c r="I19" s="84" t="s">
        <v>30</v>
      </c>
      <c r="J19" s="111">
        <f>ROUNDUP(PMT(C7/12,36,-H17,K19)-C16/36,2)</f>
        <v>531.34</v>
      </c>
      <c r="K19" s="625">
        <f>C9*30%</f>
        <v>82770</v>
      </c>
      <c r="L19" s="112">
        <f>J19*36-(H17-K19)</f>
        <v>21898.240000000002</v>
      </c>
      <c r="M19" s="87">
        <f>RATE(36,-J19,$H$17,-$K$19)*12</f>
        <v>8.9800587693378842E-2</v>
      </c>
      <c r="N19" s="87"/>
      <c r="O19" s="87">
        <f>L19/$H$17/3</f>
        <v>9.124266666666668E-2</v>
      </c>
      <c r="P19" s="618"/>
      <c r="Q19" s="108"/>
      <c r="Y19" s="94"/>
      <c r="Z19" s="89" t="s">
        <v>110</v>
      </c>
      <c r="AA19" s="573">
        <f>L17-AA20</f>
        <v>17205.836014986286</v>
      </c>
      <c r="AB19" s="574"/>
      <c r="AC19" s="92"/>
      <c r="AD19" s="91"/>
    </row>
    <row r="20" spans="2:30" ht="30" hidden="1" customHeight="1">
      <c r="D20" s="116"/>
      <c r="E20" s="594"/>
      <c r="F20" s="596"/>
      <c r="G20" s="598"/>
      <c r="H20" s="588"/>
      <c r="I20" s="84" t="s">
        <v>32</v>
      </c>
      <c r="J20" s="111">
        <f>ROUNDUP(PMT(C7/12,24,-H17,K19)-C16/24,2)</f>
        <v>492.88</v>
      </c>
      <c r="K20" s="625"/>
      <c r="L20" s="112">
        <f>J20*24-(H17-K19)</f>
        <v>14599.119999999999</v>
      </c>
      <c r="M20" s="87">
        <f>RATE(24,-J20,$H$17,-$K$19)*12</f>
        <v>8.9800859487302459E-2</v>
      </c>
      <c r="N20" s="87"/>
      <c r="O20" s="87">
        <f>L20/$H$17/2</f>
        <v>9.1244499999999992E-2</v>
      </c>
      <c r="P20" s="618"/>
      <c r="Q20" s="108"/>
      <c r="Y20" s="94"/>
      <c r="Z20" s="96" t="s">
        <v>111</v>
      </c>
      <c r="AA20" s="585">
        <f>(H17*(M17/12)-J17)*((1+(M17/12))^(AA17)-1)/(M17/12)+(J17)*AA17</f>
        <v>13649.363985013711</v>
      </c>
      <c r="AB20" s="585"/>
    </row>
    <row r="21" spans="2:30" ht="30" hidden="1" customHeight="1">
      <c r="D21" s="116"/>
      <c r="E21" s="594"/>
      <c r="F21" s="623"/>
      <c r="G21" s="624"/>
      <c r="H21" s="589"/>
      <c r="I21" s="117" t="s">
        <v>112</v>
      </c>
      <c r="J21" s="118">
        <f>ROUNDUP(PMT(C7/12,18,-H17,K19)-C16/18,2)</f>
        <v>454.34</v>
      </c>
      <c r="K21" s="626"/>
      <c r="L21" s="119">
        <f>J21*18-(H17-K19)</f>
        <v>10948.119999999999</v>
      </c>
      <c r="M21" s="87">
        <f>RATE(18,-J21,$H$17,-$K$19)*12</f>
        <v>8.9800684777622347E-2</v>
      </c>
      <c r="N21" s="87"/>
      <c r="O21" s="87">
        <f>L21/$H$17/1.5</f>
        <v>9.123433333333332E-2</v>
      </c>
      <c r="P21" s="621"/>
      <c r="Q21" s="108"/>
      <c r="Y21" s="94"/>
    </row>
    <row r="22" spans="2:30" ht="30" hidden="1" customHeight="1" thickBot="1">
      <c r="B22" s="120"/>
      <c r="C22" s="120"/>
      <c r="D22" s="116"/>
      <c r="E22" s="595"/>
      <c r="F22" s="597"/>
      <c r="G22" s="599"/>
      <c r="H22" s="590"/>
      <c r="I22" s="98" t="s">
        <v>38</v>
      </c>
      <c r="J22" s="121">
        <f>ROUNDUP(PMT(C7/12,12,-H17,K19)-C16/12,2)</f>
        <v>377.19</v>
      </c>
      <c r="K22" s="627"/>
      <c r="L22" s="122">
        <f>J22*12-(H17-K19)</f>
        <v>7296.28</v>
      </c>
      <c r="M22" s="101">
        <f>RATE(12,-J22,$H$17,-$K$19)*12</f>
        <v>8.9801388790731448E-2</v>
      </c>
      <c r="N22" s="101"/>
      <c r="O22" s="101">
        <f>L22/$H$17/1</f>
        <v>9.1203499999999993E-2</v>
      </c>
      <c r="P22" s="620"/>
    </row>
    <row r="23" spans="2:30" ht="15" hidden="1" customHeight="1" thickBot="1">
      <c r="D23" s="116"/>
    </row>
    <row r="24" spans="2:30" ht="39" hidden="1" customHeight="1">
      <c r="B24" s="120"/>
      <c r="C24" s="120"/>
      <c r="D24" s="116"/>
      <c r="E24" s="74" t="s">
        <v>121</v>
      </c>
      <c r="F24" s="75" t="s">
        <v>22</v>
      </c>
      <c r="G24" s="76" t="s">
        <v>21</v>
      </c>
      <c r="H24" s="77" t="s">
        <v>122</v>
      </c>
      <c r="I24" s="77" t="s">
        <v>24</v>
      </c>
      <c r="J24" s="78" t="s">
        <v>25</v>
      </c>
      <c r="K24" s="105" t="s">
        <v>116</v>
      </c>
      <c r="L24" s="79" t="s">
        <v>117</v>
      </c>
      <c r="M24" s="80" t="s">
        <v>103</v>
      </c>
      <c r="N24" s="106"/>
      <c r="O24" s="81" t="s">
        <v>104</v>
      </c>
      <c r="P24" s="107" t="s">
        <v>106</v>
      </c>
    </row>
    <row r="25" spans="2:30" ht="45" hidden="1" customHeight="1" thickBot="1">
      <c r="B25" s="120"/>
      <c r="C25" s="120"/>
      <c r="D25" s="114"/>
      <c r="E25" s="123" t="s">
        <v>123</v>
      </c>
      <c r="F25" s="124">
        <v>0.5</v>
      </c>
      <c r="G25" s="125">
        <f>C9*F25</f>
        <v>137950</v>
      </c>
      <c r="H25" s="126">
        <f>C9-G25</f>
        <v>137950</v>
      </c>
      <c r="I25" s="127" t="s">
        <v>38</v>
      </c>
      <c r="J25" s="128">
        <f>ROUNDUP(L25/12,2)</f>
        <v>1032.33</v>
      </c>
      <c r="K25" s="129">
        <f>C9*50%</f>
        <v>137950</v>
      </c>
      <c r="L25" s="122">
        <f>H25*C7-C16</f>
        <v>12387.91</v>
      </c>
      <c r="M25" s="101">
        <f>RATE(12,-J25,H25,-K25)*12</f>
        <v>8.9800362450316473E-2</v>
      </c>
      <c r="N25" s="101"/>
      <c r="O25" s="101">
        <f>L25/H25/1</f>
        <v>8.9800000000000005E-2</v>
      </c>
      <c r="P25" s="130" t="str">
        <f>VLOOKUP(C7,'参数-非厂贴方案配置'!A4:I6,4,0)</f>
        <v>无方案</v>
      </c>
    </row>
    <row r="26" spans="2:30" ht="30" hidden="1" customHeight="1" thickBot="1">
      <c r="B26" s="120"/>
      <c r="C26" s="120"/>
      <c r="D26" s="102"/>
    </row>
    <row r="27" spans="2:30" ht="39" hidden="1" customHeight="1">
      <c r="B27" s="131"/>
      <c r="C27" s="131"/>
      <c r="D27" s="131"/>
      <c r="E27" s="74" t="s">
        <v>124</v>
      </c>
      <c r="F27" s="75" t="s">
        <v>22</v>
      </c>
      <c r="G27" s="76" t="s">
        <v>21</v>
      </c>
      <c r="H27" s="77" t="s">
        <v>125</v>
      </c>
      <c r="I27" s="77" t="s">
        <v>24</v>
      </c>
      <c r="J27" s="78" t="s">
        <v>25</v>
      </c>
      <c r="K27" s="79" t="s">
        <v>117</v>
      </c>
      <c r="L27" s="80" t="s">
        <v>103</v>
      </c>
      <c r="M27" s="81" t="s">
        <v>104</v>
      </c>
      <c r="N27" s="81"/>
      <c r="O27" s="591" t="s">
        <v>106</v>
      </c>
      <c r="P27" s="592"/>
      <c r="U27" s="132" t="s">
        <v>126</v>
      </c>
      <c r="V27" s="132" t="s">
        <v>127</v>
      </c>
    </row>
    <row r="28" spans="2:30" ht="30" hidden="1" customHeight="1">
      <c r="B28" s="114"/>
      <c r="C28" s="102"/>
      <c r="D28" s="131"/>
      <c r="E28" s="593" t="s">
        <v>128</v>
      </c>
      <c r="F28" s="596">
        <v>0.4</v>
      </c>
      <c r="G28" s="611">
        <f>C9*F28</f>
        <v>110360</v>
      </c>
      <c r="H28" s="613">
        <f>C9*60%</f>
        <v>165540</v>
      </c>
      <c r="I28" s="133" t="s">
        <v>129</v>
      </c>
      <c r="J28" s="134">
        <f>V28</f>
        <v>1238.7910000000002</v>
      </c>
      <c r="K28" s="615">
        <f>(V28+V30)*12</f>
        <v>22298.238000000005</v>
      </c>
      <c r="L28" s="602">
        <f>C7</f>
        <v>8.9800000000000005E-2</v>
      </c>
      <c r="M28" s="602">
        <f>K28/H28/2</f>
        <v>6.7350000000000021E-2</v>
      </c>
      <c r="N28" s="87"/>
      <c r="O28" s="617" t="str">
        <f>VLOOKUP(C7,'参数-非厂贴方案配置'!A4:I6,5,0)</f>
        <v>无方案</v>
      </c>
      <c r="P28" s="618"/>
      <c r="U28" s="135">
        <v>0</v>
      </c>
      <c r="V28" s="136">
        <f>L28/12*H28</f>
        <v>1238.7910000000002</v>
      </c>
    </row>
    <row r="29" spans="2:30" ht="30" hidden="1" customHeight="1">
      <c r="B29" s="114"/>
      <c r="C29" s="116"/>
      <c r="D29" s="102"/>
      <c r="E29" s="594"/>
      <c r="F29" s="596"/>
      <c r="G29" s="611"/>
      <c r="H29" s="613"/>
      <c r="I29" s="137" t="s">
        <v>38</v>
      </c>
      <c r="J29" s="134">
        <f>V29+U29</f>
        <v>84008.790999999997</v>
      </c>
      <c r="K29" s="615"/>
      <c r="L29" s="602"/>
      <c r="M29" s="602"/>
      <c r="N29" s="87"/>
      <c r="O29" s="617"/>
      <c r="P29" s="618"/>
      <c r="U29" s="135">
        <f>H28*50%</f>
        <v>82770</v>
      </c>
      <c r="V29" s="136">
        <f>L28/12*H28</f>
        <v>1238.7910000000002</v>
      </c>
    </row>
    <row r="30" spans="2:30" ht="30" hidden="1" customHeight="1">
      <c r="B30" s="114"/>
      <c r="C30" s="114"/>
      <c r="D30" s="116"/>
      <c r="E30" s="594"/>
      <c r="F30" s="596"/>
      <c r="G30" s="611"/>
      <c r="H30" s="613"/>
      <c r="I30" s="137" t="s">
        <v>130</v>
      </c>
      <c r="J30" s="134">
        <f>V30</f>
        <v>619.39550000000008</v>
      </c>
      <c r="K30" s="615"/>
      <c r="L30" s="602"/>
      <c r="M30" s="602"/>
      <c r="N30" s="87"/>
      <c r="O30" s="617"/>
      <c r="P30" s="618"/>
      <c r="U30" s="135">
        <v>0</v>
      </c>
      <c r="V30" s="136">
        <f>L28/12*(H28-U29)</f>
        <v>619.39550000000008</v>
      </c>
    </row>
    <row r="31" spans="2:30" ht="30" hidden="1" customHeight="1" thickBot="1">
      <c r="B31" s="114"/>
      <c r="C31" s="114"/>
      <c r="D31" s="114"/>
      <c r="E31" s="595"/>
      <c r="F31" s="597"/>
      <c r="G31" s="612"/>
      <c r="H31" s="614"/>
      <c r="I31" s="138" t="s">
        <v>32</v>
      </c>
      <c r="J31" s="128">
        <f>V31+U31</f>
        <v>83389.395499999999</v>
      </c>
      <c r="K31" s="616"/>
      <c r="L31" s="603"/>
      <c r="M31" s="603"/>
      <c r="N31" s="101"/>
      <c r="O31" s="619"/>
      <c r="P31" s="620"/>
      <c r="U31" s="139">
        <f>H28*50%</f>
        <v>82770</v>
      </c>
      <c r="V31" s="140">
        <f>L28/12*(H28-U29)</f>
        <v>619.39550000000008</v>
      </c>
    </row>
    <row r="32" spans="2:30" ht="30" hidden="1" customHeight="1" thickBot="1">
      <c r="B32" s="114"/>
      <c r="C32" s="114"/>
      <c r="D32" s="114"/>
    </row>
    <row r="33" spans="2:22" ht="30" hidden="1" customHeight="1">
      <c r="B33" s="114"/>
      <c r="C33" s="114"/>
      <c r="D33" s="114"/>
      <c r="E33" s="74" t="s">
        <v>131</v>
      </c>
      <c r="F33" s="75" t="s">
        <v>22</v>
      </c>
      <c r="G33" s="76" t="s">
        <v>132</v>
      </c>
      <c r="H33" s="77" t="s">
        <v>101</v>
      </c>
      <c r="I33" s="77" t="s">
        <v>24</v>
      </c>
      <c r="J33" s="78" t="s">
        <v>25</v>
      </c>
      <c r="K33" s="79" t="s">
        <v>117</v>
      </c>
      <c r="L33" s="80" t="s">
        <v>103</v>
      </c>
      <c r="M33" s="81" t="s">
        <v>104</v>
      </c>
      <c r="N33" s="81"/>
      <c r="O33" s="591" t="s">
        <v>106</v>
      </c>
      <c r="P33" s="592"/>
      <c r="U33" s="132" t="s">
        <v>126</v>
      </c>
      <c r="V33" s="132" t="s">
        <v>127</v>
      </c>
    </row>
    <row r="34" spans="2:22" ht="30" hidden="1" customHeight="1">
      <c r="B34" s="114"/>
      <c r="C34" s="114"/>
      <c r="D34" s="114"/>
      <c r="E34" s="593" t="s">
        <v>133</v>
      </c>
      <c r="F34" s="596">
        <f>G34/C9</f>
        <v>0.71003986951794129</v>
      </c>
      <c r="G34" s="598">
        <f>C9-H34</f>
        <v>195900</v>
      </c>
      <c r="H34" s="588">
        <v>80000</v>
      </c>
      <c r="I34" s="84" t="s">
        <v>129</v>
      </c>
      <c r="J34" s="134">
        <f>V34+U34</f>
        <v>598.66666666666674</v>
      </c>
      <c r="K34" s="600">
        <f>(V34+V36+V38)*12</f>
        <v>13649.6</v>
      </c>
      <c r="L34" s="602">
        <f>C7</f>
        <v>8.9800000000000005E-2</v>
      </c>
      <c r="M34" s="602">
        <f>K34/H34/3</f>
        <v>5.6873333333333331E-2</v>
      </c>
      <c r="N34" s="87"/>
      <c r="O34" s="604" t="str">
        <f>VLOOKUP(C7,'参数-非厂贴方案配置'!A4:I6,6,0)</f>
        <v>无方案</v>
      </c>
      <c r="P34" s="605"/>
      <c r="U34" s="135">
        <v>0</v>
      </c>
      <c r="V34" s="135">
        <f>L34/12*H34</f>
        <v>598.66666666666674</v>
      </c>
    </row>
    <row r="35" spans="2:22" ht="30" hidden="1" customHeight="1">
      <c r="B35" s="114"/>
      <c r="C35" s="116"/>
      <c r="D35" s="114"/>
      <c r="E35" s="594"/>
      <c r="F35" s="596"/>
      <c r="G35" s="598"/>
      <c r="H35" s="588"/>
      <c r="I35" s="84" t="s">
        <v>38</v>
      </c>
      <c r="J35" s="134">
        <f>V35+U35</f>
        <v>32598.666666666668</v>
      </c>
      <c r="K35" s="600"/>
      <c r="L35" s="602"/>
      <c r="M35" s="602"/>
      <c r="N35" s="87"/>
      <c r="O35" s="604"/>
      <c r="P35" s="605"/>
      <c r="U35" s="135">
        <f>H34*40%</f>
        <v>32000</v>
      </c>
      <c r="V35" s="135">
        <f>L34/12*H34</f>
        <v>598.66666666666674</v>
      </c>
    </row>
    <row r="36" spans="2:22" ht="30" hidden="1" customHeight="1">
      <c r="B36" s="131"/>
      <c r="C36" s="131"/>
      <c r="D36" s="116"/>
      <c r="E36" s="594"/>
      <c r="F36" s="596"/>
      <c r="G36" s="598"/>
      <c r="H36" s="588"/>
      <c r="I36" s="84" t="s">
        <v>130</v>
      </c>
      <c r="J36" s="134">
        <f>V36+U36</f>
        <v>359.20000000000005</v>
      </c>
      <c r="K36" s="600"/>
      <c r="L36" s="602"/>
      <c r="M36" s="602"/>
      <c r="N36" s="87"/>
      <c r="O36" s="604"/>
      <c r="P36" s="605"/>
      <c r="U36" s="135">
        <v>0</v>
      </c>
      <c r="V36" s="135">
        <f>L34/12*(H34-U35)</f>
        <v>359.20000000000005</v>
      </c>
    </row>
    <row r="37" spans="2:22" ht="30" hidden="1" customHeight="1">
      <c r="B37" s="114"/>
      <c r="C37" s="116"/>
      <c r="D37" s="131"/>
      <c r="E37" s="594"/>
      <c r="F37" s="596"/>
      <c r="G37" s="598"/>
      <c r="H37" s="588"/>
      <c r="I37" s="84" t="s">
        <v>32</v>
      </c>
      <c r="J37" s="134">
        <f>U37+V37</f>
        <v>24359.200000000001</v>
      </c>
      <c r="K37" s="600"/>
      <c r="L37" s="602"/>
      <c r="M37" s="602"/>
      <c r="N37" s="87"/>
      <c r="O37" s="604"/>
      <c r="P37" s="605"/>
      <c r="U37" s="135">
        <f>H34*30%</f>
        <v>24000</v>
      </c>
      <c r="V37" s="135">
        <f>L34/12*(H34-U35)</f>
        <v>359.20000000000005</v>
      </c>
    </row>
    <row r="38" spans="2:22" ht="30" hidden="1" customHeight="1">
      <c r="B38" s="114"/>
      <c r="C38" s="114"/>
      <c r="D38" s="116"/>
      <c r="E38" s="594"/>
      <c r="F38" s="596"/>
      <c r="G38" s="598"/>
      <c r="H38" s="588"/>
      <c r="I38" s="84" t="s">
        <v>134</v>
      </c>
      <c r="J38" s="134">
        <f>V38+U38</f>
        <v>179.60000000000002</v>
      </c>
      <c r="K38" s="600"/>
      <c r="L38" s="602"/>
      <c r="M38" s="602"/>
      <c r="N38" s="87"/>
      <c r="O38" s="604"/>
      <c r="P38" s="605"/>
      <c r="U38" s="135">
        <v>0</v>
      </c>
      <c r="V38" s="135">
        <f>L34/12*(H34-U35-U37)</f>
        <v>179.60000000000002</v>
      </c>
    </row>
    <row r="39" spans="2:22" ht="30" hidden="1" customHeight="1" thickBot="1">
      <c r="B39" s="114"/>
      <c r="C39" s="116"/>
      <c r="D39" s="114"/>
      <c r="E39" s="595"/>
      <c r="F39" s="597"/>
      <c r="G39" s="599"/>
      <c r="H39" s="590"/>
      <c r="I39" s="127" t="s">
        <v>30</v>
      </c>
      <c r="J39" s="128">
        <f>U39+V39</f>
        <v>24179.599999999999</v>
      </c>
      <c r="K39" s="601"/>
      <c r="L39" s="603"/>
      <c r="M39" s="603"/>
      <c r="N39" s="101"/>
      <c r="O39" s="606"/>
      <c r="P39" s="607"/>
      <c r="U39" s="139">
        <f>H34*30%</f>
        <v>24000</v>
      </c>
      <c r="V39" s="139">
        <f>L34/12*(H34-U35-U37)</f>
        <v>179.60000000000002</v>
      </c>
    </row>
    <row r="40" spans="2:22" ht="20" hidden="1" customHeight="1">
      <c r="B40" s="131"/>
      <c r="C40" s="131"/>
      <c r="D40" s="116"/>
      <c r="L40" s="69"/>
      <c r="M40" s="68"/>
      <c r="N40" s="68"/>
      <c r="O40" s="67"/>
    </row>
    <row r="41" spans="2:22" ht="20" customHeight="1">
      <c r="B41" s="131"/>
      <c r="C41" s="131"/>
      <c r="D41" s="131"/>
      <c r="H41" s="141"/>
      <c r="I41" s="141"/>
      <c r="J41" s="142"/>
      <c r="K41" s="142"/>
      <c r="L41" s="69"/>
      <c r="M41" s="68"/>
      <c r="N41" s="68"/>
      <c r="O41" s="67"/>
      <c r="U41" s="143"/>
      <c r="V41" s="143"/>
    </row>
    <row r="42" spans="2:22" ht="20" customHeight="1">
      <c r="B42" s="131"/>
      <c r="C42" s="131"/>
      <c r="D42" s="131"/>
    </row>
    <row r="43" spans="2:22" ht="20" customHeight="1">
      <c r="B43" s="131"/>
      <c r="C43" s="131"/>
      <c r="D43" s="131"/>
    </row>
    <row r="44" spans="2:22" ht="20" customHeight="1">
      <c r="B44" s="131"/>
      <c r="C44" s="131"/>
      <c r="D44" s="131"/>
    </row>
    <row r="45" spans="2:22" ht="20" customHeight="1">
      <c r="B45" s="131"/>
      <c r="C45" s="131"/>
      <c r="D45" s="131"/>
    </row>
    <row r="46" spans="2:22" ht="20" customHeight="1">
      <c r="B46" s="131"/>
      <c r="C46" s="131"/>
      <c r="D46" s="131"/>
    </row>
    <row r="47" spans="2:22" ht="20" customHeight="1">
      <c r="B47" s="131"/>
      <c r="C47" s="131"/>
      <c r="D47" s="131"/>
    </row>
    <row r="48" spans="2:22" ht="20" customHeight="1">
      <c r="B48" s="131"/>
      <c r="C48" s="131"/>
      <c r="D48" s="131"/>
    </row>
    <row r="49" spans="2:4" ht="20" customHeight="1">
      <c r="B49" s="131"/>
      <c r="C49" s="131"/>
      <c r="D49" s="131"/>
    </row>
    <row r="50" spans="2:4" ht="20" customHeight="1">
      <c r="B50" s="131"/>
      <c r="C50" s="131"/>
      <c r="D50" s="131"/>
    </row>
    <row r="51" spans="2:4" ht="20" customHeight="1">
      <c r="B51" s="131"/>
      <c r="C51" s="131"/>
      <c r="D51" s="131"/>
    </row>
    <row r="52" spans="2:4" ht="20" customHeight="1">
      <c r="B52" s="131"/>
      <c r="C52" s="131"/>
      <c r="D52" s="131"/>
    </row>
    <row r="53" spans="2:4" ht="20" customHeight="1">
      <c r="B53" s="131"/>
      <c r="C53" s="131"/>
      <c r="D53" s="131"/>
    </row>
    <row r="54" spans="2:4" ht="20" customHeight="1">
      <c r="B54" s="131"/>
      <c r="C54" s="131"/>
      <c r="D54" s="131"/>
    </row>
    <row r="55" spans="2:4" ht="20" customHeight="1">
      <c r="B55" s="131"/>
      <c r="C55" s="131"/>
      <c r="D55" s="131"/>
    </row>
    <row r="56" spans="2:4" ht="20" customHeight="1">
      <c r="B56" s="131"/>
      <c r="C56" s="131"/>
      <c r="D56" s="131"/>
    </row>
    <row r="57" spans="2:4" ht="20" customHeight="1">
      <c r="B57" s="131"/>
      <c r="C57" s="131"/>
      <c r="D57" s="131"/>
    </row>
    <row r="58" spans="2:4" ht="20" customHeight="1">
      <c r="B58" s="131"/>
      <c r="C58" s="131"/>
      <c r="D58" s="131"/>
    </row>
    <row r="59" spans="2:4" ht="20" customHeight="1">
      <c r="B59" s="131"/>
      <c r="C59" s="131"/>
      <c r="D59" s="131"/>
    </row>
    <row r="60" spans="2:4" ht="20" customHeight="1">
      <c r="B60" s="131"/>
      <c r="C60" s="131"/>
      <c r="D60" s="131"/>
    </row>
    <row r="61" spans="2:4" ht="20" customHeight="1">
      <c r="B61" s="131"/>
      <c r="C61" s="131"/>
      <c r="D61" s="131"/>
    </row>
    <row r="62" spans="2:4" ht="20" customHeight="1">
      <c r="B62" s="131"/>
      <c r="C62" s="131"/>
      <c r="D62" s="131"/>
    </row>
    <row r="63" spans="2:4" ht="20" customHeight="1">
      <c r="B63" s="131"/>
      <c r="C63" s="131"/>
      <c r="D63" s="131"/>
    </row>
    <row r="64" spans="2:4" ht="20" customHeight="1">
      <c r="B64" s="131"/>
      <c r="C64" s="131"/>
      <c r="D64" s="131"/>
    </row>
    <row r="65" spans="2:4" ht="20" customHeight="1">
      <c r="B65" s="131"/>
      <c r="C65" s="131"/>
      <c r="D65" s="131"/>
    </row>
    <row r="66" spans="2:4" ht="20" customHeight="1">
      <c r="B66" s="131"/>
      <c r="C66" s="131"/>
      <c r="D66" s="131"/>
    </row>
    <row r="67" spans="2:4" ht="20" customHeight="1">
      <c r="B67" s="131"/>
      <c r="C67" s="131"/>
      <c r="D67" s="131"/>
    </row>
    <row r="68" spans="2:4" ht="20" customHeight="1">
      <c r="B68" s="131"/>
      <c r="C68" s="131"/>
      <c r="D68" s="131"/>
    </row>
    <row r="69" spans="2:4" ht="20" customHeight="1">
      <c r="B69" s="131"/>
      <c r="C69" s="131"/>
      <c r="D69" s="131"/>
    </row>
    <row r="70" spans="2:4" ht="20" customHeight="1">
      <c r="B70" s="131"/>
      <c r="C70" s="131"/>
      <c r="D70" s="131"/>
    </row>
    <row r="71" spans="2:4" ht="20" customHeight="1">
      <c r="B71" s="131"/>
      <c r="C71" s="131"/>
      <c r="D71" s="131"/>
    </row>
    <row r="72" spans="2:4" ht="20" customHeight="1">
      <c r="B72" s="131"/>
      <c r="C72" s="131"/>
      <c r="D72" s="131"/>
    </row>
    <row r="73" spans="2:4" ht="20" customHeight="1">
      <c r="B73" s="131"/>
      <c r="C73" s="131"/>
      <c r="D73" s="131"/>
    </row>
    <row r="74" spans="2:4" ht="20" customHeight="1">
      <c r="B74" s="131"/>
      <c r="C74" s="131"/>
      <c r="D74" s="131"/>
    </row>
    <row r="75" spans="2:4" ht="20" customHeight="1">
      <c r="B75" s="131"/>
      <c r="C75" s="131"/>
      <c r="D75" s="131"/>
    </row>
    <row r="76" spans="2:4" ht="20" customHeight="1">
      <c r="B76" s="131"/>
      <c r="C76" s="131"/>
      <c r="D76" s="131"/>
    </row>
    <row r="77" spans="2:4" ht="20" customHeight="1">
      <c r="B77" s="131"/>
      <c r="C77" s="131"/>
      <c r="D77" s="131"/>
    </row>
    <row r="78" spans="2:4" ht="20" customHeight="1">
      <c r="B78" s="131"/>
      <c r="C78" s="131"/>
      <c r="D78" s="131"/>
    </row>
    <row r="79" spans="2:4" ht="20" customHeight="1">
      <c r="B79" s="131"/>
      <c r="C79" s="131"/>
      <c r="D79" s="131"/>
    </row>
    <row r="80" spans="2:4" ht="20" customHeight="1">
      <c r="B80" s="131"/>
      <c r="C80" s="131"/>
      <c r="D80" s="131"/>
    </row>
    <row r="81" spans="2:4" ht="20" customHeight="1">
      <c r="B81" s="131"/>
      <c r="C81" s="131"/>
      <c r="D81" s="131"/>
    </row>
    <row r="82" spans="2:4" ht="20" customHeight="1">
      <c r="B82" s="131"/>
      <c r="C82" s="131"/>
      <c r="D82" s="131"/>
    </row>
    <row r="83" spans="2:4" ht="20" customHeight="1">
      <c r="B83" s="131"/>
      <c r="C83" s="131"/>
      <c r="D83" s="131"/>
    </row>
    <row r="84" spans="2:4" ht="20" customHeight="1">
      <c r="B84" s="131"/>
      <c r="C84" s="131"/>
      <c r="D84" s="131"/>
    </row>
    <row r="85" spans="2:4" ht="20" customHeight="1">
      <c r="B85" s="131"/>
      <c r="C85" s="131"/>
      <c r="D85" s="131"/>
    </row>
    <row r="86" spans="2:4" ht="20" customHeight="1">
      <c r="B86" s="131"/>
      <c r="C86" s="131"/>
      <c r="D86" s="131"/>
    </row>
    <row r="87" spans="2:4" ht="20" customHeight="1">
      <c r="B87" s="131"/>
      <c r="C87" s="131"/>
      <c r="D87" s="131"/>
    </row>
    <row r="88" spans="2:4" ht="20" customHeight="1">
      <c r="B88" s="131"/>
      <c r="C88" s="131"/>
      <c r="D88" s="131"/>
    </row>
    <row r="89" spans="2:4" ht="20" customHeight="1">
      <c r="B89" s="131"/>
      <c r="C89" s="131"/>
      <c r="D89" s="131"/>
    </row>
    <row r="90" spans="2:4" ht="20" customHeight="1">
      <c r="D90" s="131"/>
    </row>
  </sheetData>
  <sheetProtection algorithmName="SHA-512" hashValue="P2uv8r9bsAVY7mIVWodCw4xfKBXGLhDmBX9wfWr7MUbdW3icFwG9ZLcdGlE2W+HycDRGO+GEz5K/e5+hT1nyZw==" saltValue="Zn72KCcaRZueGNN/xzGjKQ==" spinCount="100000" sheet="1" objects="1" scenarios="1"/>
  <mergeCells count="48">
    <mergeCell ref="AA7:AB7"/>
    <mergeCell ref="B3:B4"/>
    <mergeCell ref="C3:C4"/>
    <mergeCell ref="O3:P3"/>
    <mergeCell ref="E4:E9"/>
    <mergeCell ref="F4:F9"/>
    <mergeCell ref="G4:G9"/>
    <mergeCell ref="H4:H9"/>
    <mergeCell ref="O4:P9"/>
    <mergeCell ref="B9:B10"/>
    <mergeCell ref="C9:C10"/>
    <mergeCell ref="AA4:AB4"/>
    <mergeCell ref="B5:B6"/>
    <mergeCell ref="C5:C6"/>
    <mergeCell ref="AA5:AB5"/>
    <mergeCell ref="AA6:AB6"/>
    <mergeCell ref="AA17:AB17"/>
    <mergeCell ref="AA18:AB18"/>
    <mergeCell ref="K19:K22"/>
    <mergeCell ref="AA19:AB19"/>
    <mergeCell ref="AA20:AB20"/>
    <mergeCell ref="K17:K18"/>
    <mergeCell ref="B7:B8"/>
    <mergeCell ref="C7:C8"/>
    <mergeCell ref="O27:P27"/>
    <mergeCell ref="E28:E31"/>
    <mergeCell ref="F28:F31"/>
    <mergeCell ref="G28:G31"/>
    <mergeCell ref="H28:H31"/>
    <mergeCell ref="K28:K31"/>
    <mergeCell ref="L28:L31"/>
    <mergeCell ref="M28:M31"/>
    <mergeCell ref="O28:P31"/>
    <mergeCell ref="P17:P22"/>
    <mergeCell ref="B14:C14"/>
    <mergeCell ref="E17:E22"/>
    <mergeCell ref="F17:F22"/>
    <mergeCell ref="G17:G22"/>
    <mergeCell ref="H17:H22"/>
    <mergeCell ref="O33:P33"/>
    <mergeCell ref="E34:E39"/>
    <mergeCell ref="F34:F39"/>
    <mergeCell ref="G34:G39"/>
    <mergeCell ref="H34:H39"/>
    <mergeCell ref="K34:K39"/>
    <mergeCell ref="L34:L39"/>
    <mergeCell ref="M34:M39"/>
    <mergeCell ref="O34:P39"/>
  </mergeCells>
  <phoneticPr fontId="3" type="noConversion"/>
  <conditionalFormatting sqref="F4:F9">
    <cfRule type="expression" dxfId="34" priority="8">
      <formula>$F$4&lt;15%</formula>
    </cfRule>
  </conditionalFormatting>
  <conditionalFormatting sqref="F17:F22">
    <cfRule type="expression" dxfId="33" priority="7">
      <formula>$F$17&lt;20%</formula>
    </cfRule>
  </conditionalFormatting>
  <conditionalFormatting sqref="F34:F39">
    <cfRule type="expression" dxfId="32" priority="6">
      <formula>$F$34&lt;20%</formula>
    </cfRule>
  </conditionalFormatting>
  <conditionalFormatting sqref="H4:H9">
    <cfRule type="expression" dxfId="31" priority="11">
      <formula>$H$4&lt;50000</formula>
    </cfRule>
  </conditionalFormatting>
  <conditionalFormatting sqref="H17:H22">
    <cfRule type="expression" dxfId="30" priority="12">
      <formula>$H$17&lt;$C$12</formula>
    </cfRule>
  </conditionalFormatting>
  <conditionalFormatting sqref="H25">
    <cfRule type="expression" dxfId="29" priority="13">
      <formula>$H$25&lt;$C$12</formula>
    </cfRule>
  </conditionalFormatting>
  <conditionalFormatting sqref="H28:H31">
    <cfRule type="expression" dxfId="28" priority="14">
      <formula>$H$28&lt;$C$12</formula>
    </cfRule>
  </conditionalFormatting>
  <conditionalFormatting sqref="H34:H39">
    <cfRule type="expression" dxfId="27" priority="15">
      <formula>$H$34&lt;$C$12</formula>
    </cfRule>
  </conditionalFormatting>
  <conditionalFormatting sqref="J4:N9">
    <cfRule type="expression" dxfId="26" priority="1">
      <formula>$H$4&lt;50000</formula>
    </cfRule>
  </conditionalFormatting>
  <conditionalFormatting sqref="O28:P31">
    <cfRule type="containsText" dxfId="25" priority="3" operator="containsText" text="无方案">
      <formula>NOT(ISERROR(SEARCH("无方案",O28)))</formula>
    </cfRule>
  </conditionalFormatting>
  <conditionalFormatting sqref="O34:P39">
    <cfRule type="containsText" dxfId="24" priority="2" operator="containsText" text="无方案">
      <formula>NOT(ISERROR(SEARCH("无方案",O34)))</formula>
    </cfRule>
  </conditionalFormatting>
  <conditionalFormatting sqref="P17:P22">
    <cfRule type="containsText" dxfId="23" priority="5" operator="containsText" text="无方案">
      <formula>NOT(ISERROR(SEARCH("无方案",P17)))</formula>
    </cfRule>
  </conditionalFormatting>
  <conditionalFormatting sqref="P25">
    <cfRule type="containsText" dxfId="22" priority="4" operator="containsText" text="无方案">
      <formula>NOT(ISERROR(SEARCH("无方案",P25)))</formula>
    </cfRule>
  </conditionalFormatting>
  <conditionalFormatting sqref="AB5 AB18">
    <cfRule type="expression" dxfId="21" priority="16">
      <formula>$B$12&lt;70000</formula>
    </cfRule>
  </conditionalFormatting>
  <conditionalFormatting sqref="AB7 AC19:AD19 AB20">
    <cfRule type="expression" dxfId="20" priority="10">
      <formula>$D$19&lt;30%</formula>
    </cfRule>
  </conditionalFormatting>
  <conditionalFormatting sqref="AC6:AD6">
    <cfRule type="expression" dxfId="19" priority="9">
      <formula>$D$19&lt;30%</formula>
    </cfRule>
  </conditionalFormatting>
  <dataValidations count="1">
    <dataValidation type="list" allowBlank="1" showInputMessage="1" showErrorMessage="1" sqref="D6" xr:uid="{00000000-0002-0000-0800-000000000000}">
      <formula1>$B$12:$B$14</formula1>
    </dataValidation>
  </dataValidations>
  <hyperlinks>
    <hyperlink ref="P1" location="试算路径及方案简述!A1" display="返回" xr:uid="{00000000-0004-0000-0800-000000000000}"/>
  </hyperlinks>
  <pageMargins left="0.7" right="0.7" top="0.75" bottom="0.75" header="0.3" footer="0.3"/>
  <pageSetup paperSize="9" orientation="portrait" horizontalDpi="300" verticalDpi="0" copies="0" r:id="rId1"/>
  <drawing r:id="rId2"/>
  <extLst>
    <ext xmlns:x14="http://schemas.microsoft.com/office/spreadsheetml/2009/9/main" uri="{CCE6A557-97BC-4b89-ADB6-D9C93CAAB3DF}">
      <x14:dataValidations xmlns:xm="http://schemas.microsoft.com/office/excel/2006/main" count="1">
        <x14:dataValidation type="list" allowBlank="1" showDropDown="1" showInputMessage="1" showErrorMessage="1" xr:uid="{76E9A9CE-BA82-4177-A0F1-D2D228B5DD61}">
          <x14:formula1>
            <xm:f>'参数-非厂贴方案配置'!$A$7:$A$7</xm:f>
          </x14:formula1>
          <xm:sqref>C7:C8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39997558519241921"/>
  </sheetPr>
  <dimension ref="B1:W66"/>
  <sheetViews>
    <sheetView topLeftCell="C1" zoomScale="50" zoomScaleNormal="50" workbookViewId="0">
      <selection activeCell="P1" sqref="P1"/>
    </sheetView>
  </sheetViews>
  <sheetFormatPr defaultColWidth="8.9140625" defaultRowHeight="20" customHeight="1"/>
  <cols>
    <col min="1" max="1" width="1.6640625" style="67" customWidth="1"/>
    <col min="2" max="2" width="22.08203125" style="67" customWidth="1"/>
    <col min="3" max="3" width="28.75" style="67" customWidth="1"/>
    <col min="4" max="4" width="2.33203125" style="67" customWidth="1"/>
    <col min="5" max="5" width="16.08203125" style="67" customWidth="1"/>
    <col min="6" max="6" width="10.25" style="67" customWidth="1"/>
    <col min="7" max="7" width="13.4140625" style="68" customWidth="1"/>
    <col min="8" max="8" width="15.08203125" style="67" customWidth="1"/>
    <col min="9" max="9" width="8.4140625" style="67" customWidth="1"/>
    <col min="10" max="10" width="18.25" style="67" customWidth="1"/>
    <col min="11" max="11" width="18.08203125" style="68" customWidth="1"/>
    <col min="12" max="12" width="20.4140625" style="68" customWidth="1"/>
    <col min="13" max="13" width="20.4140625" style="69" customWidth="1"/>
    <col min="14" max="14" width="17.75" style="69" customWidth="1"/>
    <col min="15" max="15" width="16.4140625" style="68" customWidth="1"/>
    <col min="16" max="16" width="65.6640625" style="67" customWidth="1"/>
    <col min="17" max="18" width="1.9140625" style="67" customWidth="1"/>
    <col min="19" max="19" width="8.9140625" style="67"/>
    <col min="20" max="21" width="11.25" style="67" customWidth="1"/>
    <col min="22" max="22" width="13.4140625" style="67" customWidth="1"/>
    <col min="23" max="16384" width="8.9140625" style="67"/>
  </cols>
  <sheetData>
    <row r="1" spans="2:23" ht="88" customHeight="1">
      <c r="P1" s="210" t="s">
        <v>68</v>
      </c>
      <c r="S1" s="70"/>
    </row>
    <row r="2" spans="2:23" ht="20" customHeight="1" thickBot="1">
      <c r="B2" s="71" t="s">
        <v>135</v>
      </c>
      <c r="E2" s="72" t="s">
        <v>34</v>
      </c>
      <c r="H2" s="72"/>
      <c r="I2" s="72"/>
    </row>
    <row r="3" spans="2:23" ht="39" customHeight="1">
      <c r="B3" s="628" t="s">
        <v>64</v>
      </c>
      <c r="C3" s="647">
        <v>100000</v>
      </c>
      <c r="D3" s="73"/>
      <c r="E3" s="144" t="s">
        <v>100</v>
      </c>
      <c r="F3" s="75" t="s">
        <v>22</v>
      </c>
      <c r="G3" s="76" t="s">
        <v>21</v>
      </c>
      <c r="H3" s="426" t="s">
        <v>434</v>
      </c>
      <c r="I3" s="77" t="s">
        <v>24</v>
      </c>
      <c r="J3" s="78" t="s">
        <v>25</v>
      </c>
      <c r="K3" s="79" t="s">
        <v>102</v>
      </c>
      <c r="L3" s="80" t="s">
        <v>103</v>
      </c>
      <c r="M3" s="81" t="s">
        <v>104</v>
      </c>
      <c r="N3" s="81" t="s">
        <v>105</v>
      </c>
      <c r="O3" s="591" t="s">
        <v>397</v>
      </c>
      <c r="P3" s="592"/>
      <c r="R3" s="82"/>
      <c r="S3" s="83"/>
      <c r="T3" s="83" t="s">
        <v>107</v>
      </c>
    </row>
    <row r="4" spans="2:23" ht="30" customHeight="1">
      <c r="B4" s="609"/>
      <c r="C4" s="646"/>
      <c r="D4" s="73"/>
      <c r="E4" s="594" t="s">
        <v>108</v>
      </c>
      <c r="F4" s="596">
        <f>G4/C9</f>
        <v>0.2</v>
      </c>
      <c r="G4" s="598">
        <f>C9-H4</f>
        <v>20000</v>
      </c>
      <c r="H4" s="588">
        <v>80000</v>
      </c>
      <c r="I4" s="84" t="s">
        <v>26</v>
      </c>
      <c r="J4" s="85">
        <f>ROUNDUP(PMT($C$7/12,60,-$H$4)-C11/60,2)</f>
        <v>1658.23</v>
      </c>
      <c r="K4" s="86">
        <f>J4*60-H4</f>
        <v>19493.800000000003</v>
      </c>
      <c r="L4" s="87">
        <f>RATE(60,-J4,$H$4)*12</f>
        <v>8.9371697390875859E-2</v>
      </c>
      <c r="M4" s="87">
        <f>K4/$H$4/5</f>
        <v>4.8734500000000007E-2</v>
      </c>
      <c r="N4" s="87">
        <f>K4/$H$4</f>
        <v>0.24367250000000004</v>
      </c>
      <c r="O4" s="631" t="str">
        <f>VLOOKUP(C7,'参数-非厂贴方案配置'!A4:I6,7,0)</f>
        <v>个人申请：8.98新通用 新优速贷/个体工商户升级 经销商贴息_12-60期
企业申请：8.98新通用 新公牌易贷/个体工商户  经销商贴息_12-60期
企业商用：8.98新通用_营运租赁_经销商贴息_12-36期</v>
      </c>
      <c r="P4" s="632"/>
      <c r="R4" s="88"/>
      <c r="S4" s="89" t="s">
        <v>27</v>
      </c>
      <c r="T4" s="581">
        <v>24</v>
      </c>
      <c r="U4" s="582"/>
      <c r="V4" s="90" t="s">
        <v>45</v>
      </c>
      <c r="W4" s="91"/>
    </row>
    <row r="5" spans="2:23" ht="30" customHeight="1">
      <c r="B5" s="609" t="s">
        <v>109</v>
      </c>
      <c r="C5" s="646">
        <v>0</v>
      </c>
      <c r="D5" s="73"/>
      <c r="E5" s="594"/>
      <c r="F5" s="596"/>
      <c r="G5" s="598"/>
      <c r="H5" s="588"/>
      <c r="I5" s="84" t="s">
        <v>28</v>
      </c>
      <c r="J5" s="85">
        <f>ROUNDUP(PMT($C$7/12,48,-$H$4)-C11/48,2)</f>
        <v>1987.97</v>
      </c>
      <c r="K5" s="86">
        <f>J5*48-H4</f>
        <v>15422.559999999998</v>
      </c>
      <c r="L5" s="87">
        <f>RATE(48,-J5,$H$4)*12</f>
        <v>8.9253792879298105E-2</v>
      </c>
      <c r="M5" s="87">
        <f>K5/$H$4/4</f>
        <v>4.8195499999999995E-2</v>
      </c>
      <c r="N5" s="87">
        <f t="shared" ref="N5:N7" si="0">K5/$H$4</f>
        <v>0.19278199999999998</v>
      </c>
      <c r="O5" s="631"/>
      <c r="P5" s="632"/>
      <c r="R5" s="88"/>
      <c r="S5" s="89" t="s">
        <v>29</v>
      </c>
      <c r="T5" s="583">
        <f>H4-(J4*T4-T7)</f>
        <v>52194.018563854363</v>
      </c>
      <c r="U5" s="584"/>
      <c r="V5" s="92"/>
      <c r="W5" s="91"/>
    </row>
    <row r="6" spans="2:23" ht="30" customHeight="1">
      <c r="B6" s="609"/>
      <c r="C6" s="646"/>
      <c r="D6" s="93"/>
      <c r="E6" s="594"/>
      <c r="F6" s="596"/>
      <c r="G6" s="598"/>
      <c r="H6" s="588"/>
      <c r="I6" s="84" t="s">
        <v>30</v>
      </c>
      <c r="J6" s="85">
        <f>ROUNDUP(PMT($C$7/12,36,-$H$4)-C11/36,2)</f>
        <v>2540.46</v>
      </c>
      <c r="K6" s="86">
        <f>J6*36-H4</f>
        <v>11456.559999999998</v>
      </c>
      <c r="L6" s="87">
        <f>RATE(36,-J6,$H$4)*12</f>
        <v>8.9054582763814533E-2</v>
      </c>
      <c r="M6" s="87">
        <f>K6/$H$4/3</f>
        <v>4.7735666666666655E-2</v>
      </c>
      <c r="N6" s="87">
        <f t="shared" si="0"/>
        <v>0.14320699999999997</v>
      </c>
      <c r="O6" s="631"/>
      <c r="P6" s="632"/>
      <c r="R6" s="94"/>
      <c r="S6" s="89" t="s">
        <v>110</v>
      </c>
      <c r="T6" s="573">
        <f>K4-T7</f>
        <v>7502.2614361456399</v>
      </c>
      <c r="U6" s="574"/>
      <c r="V6" s="92"/>
      <c r="W6" s="91"/>
    </row>
    <row r="7" spans="2:23" ht="30" customHeight="1">
      <c r="B7" s="608" t="s">
        <v>468</v>
      </c>
      <c r="C7" s="610">
        <v>8.9800000000000005E-2</v>
      </c>
      <c r="D7" s="95"/>
      <c r="E7" s="594"/>
      <c r="F7" s="596"/>
      <c r="G7" s="598"/>
      <c r="H7" s="588"/>
      <c r="I7" s="84" t="s">
        <v>32</v>
      </c>
      <c r="J7" s="85">
        <f>ROUNDUP(PMT($C$7/12,24,-$H$4)-C11/24,2)</f>
        <v>3649.88</v>
      </c>
      <c r="K7" s="86">
        <f>J7*24-H4</f>
        <v>7597.1199999999953</v>
      </c>
      <c r="L7" s="87">
        <f>RATE(24,-J7,$H$4)*12</f>
        <v>8.8664686105404331E-2</v>
      </c>
      <c r="M7" s="87">
        <f>K7/$H$4/2</f>
        <v>4.7481999999999969E-2</v>
      </c>
      <c r="N7" s="87">
        <f t="shared" si="0"/>
        <v>9.4963999999999937E-2</v>
      </c>
      <c r="O7" s="631"/>
      <c r="P7" s="632"/>
      <c r="R7" s="94"/>
      <c r="S7" s="96" t="s">
        <v>111</v>
      </c>
      <c r="T7" s="585">
        <f>(H4*(L4/12)-J4)*((1+(L4/12))^(T4)-1)/(L4/12)+(J4)*T4</f>
        <v>11991.538563854363</v>
      </c>
      <c r="U7" s="585"/>
    </row>
    <row r="8" spans="2:23" ht="30" customHeight="1">
      <c r="B8" s="609"/>
      <c r="C8" s="610"/>
      <c r="D8" s="97"/>
      <c r="E8" s="594"/>
      <c r="F8" s="596"/>
      <c r="G8" s="598"/>
      <c r="H8" s="588"/>
      <c r="I8" s="84" t="s">
        <v>112</v>
      </c>
      <c r="J8" s="85">
        <f>ROUNDUP(PMT($C$7/12,18,-$H$4)-C11/18,2)</f>
        <v>4761.5300000000007</v>
      </c>
      <c r="K8" s="86">
        <f>J8*18-H4</f>
        <v>5707.5400000000081</v>
      </c>
      <c r="L8" s="87">
        <f>RATE(18,-J8,$H$4)*12</f>
        <v>8.8285975313454557E-2</v>
      </c>
      <c r="M8" s="87">
        <f>K8/$H$4/1.5</f>
        <v>4.7562833333333394E-2</v>
      </c>
      <c r="N8" s="87">
        <f>K8/$H$4</f>
        <v>7.1344250000000095E-2</v>
      </c>
      <c r="O8" s="631"/>
      <c r="P8" s="632"/>
      <c r="R8" s="94"/>
    </row>
    <row r="9" spans="2:23" ht="30" customHeight="1" thickBot="1">
      <c r="B9" s="643" t="s">
        <v>136</v>
      </c>
      <c r="C9" s="645">
        <f>C3+C5</f>
        <v>100000</v>
      </c>
      <c r="D9" s="97"/>
      <c r="E9" s="595"/>
      <c r="F9" s="597"/>
      <c r="G9" s="599"/>
      <c r="H9" s="590"/>
      <c r="I9" s="98" t="s">
        <v>38</v>
      </c>
      <c r="J9" s="99">
        <f>ROUNDUP(PMT($C$7/12,12,-$H$4)-C11/12,2)</f>
        <v>6987.05</v>
      </c>
      <c r="K9" s="100">
        <f>J9*12-H4</f>
        <v>3844.6000000000058</v>
      </c>
      <c r="L9" s="101">
        <f>RATE(12,-J9,$H$4)*12</f>
        <v>8.7554769715968095E-2</v>
      </c>
      <c r="M9" s="101">
        <f>K9/$H$4/1</f>
        <v>4.8057500000000072E-2</v>
      </c>
      <c r="N9" s="101">
        <f>K9/$H$4</f>
        <v>4.8057500000000072E-2</v>
      </c>
      <c r="O9" s="633"/>
      <c r="P9" s="634"/>
    </row>
    <row r="10" spans="2:23" ht="17" customHeight="1">
      <c r="B10" s="644"/>
      <c r="C10" s="645"/>
      <c r="D10" s="102"/>
      <c r="G10" s="67"/>
      <c r="K10" s="67"/>
      <c r="L10" s="67"/>
      <c r="M10" s="67"/>
      <c r="N10" s="67"/>
      <c r="O10" s="67"/>
    </row>
    <row r="11" spans="2:23" ht="30" customHeight="1">
      <c r="B11" s="639" t="s">
        <v>137</v>
      </c>
      <c r="C11" s="641">
        <v>100</v>
      </c>
      <c r="D11" s="102"/>
      <c r="G11" s="67"/>
      <c r="K11" s="67"/>
      <c r="L11" s="67"/>
      <c r="M11" s="67"/>
      <c r="N11" s="67"/>
      <c r="O11" s="67"/>
    </row>
    <row r="12" spans="2:23" ht="30" customHeight="1" thickBot="1">
      <c r="B12" s="640"/>
      <c r="C12" s="642"/>
      <c r="D12" s="102"/>
      <c r="G12" s="67"/>
      <c r="K12" s="67"/>
      <c r="L12" s="67"/>
      <c r="M12" s="67"/>
      <c r="N12" s="67"/>
      <c r="O12" s="67"/>
    </row>
    <row r="13" spans="2:23" ht="35" customHeight="1">
      <c r="B13" s="114"/>
      <c r="C13" s="115" t="s">
        <v>138</v>
      </c>
      <c r="D13" s="102"/>
      <c r="G13" s="67"/>
      <c r="K13" s="67"/>
      <c r="L13" s="67"/>
      <c r="M13" s="67"/>
      <c r="N13" s="67"/>
      <c r="O13" s="67"/>
    </row>
    <row r="14" spans="2:23" ht="30" customHeight="1">
      <c r="B14" s="114"/>
      <c r="C14" s="115"/>
      <c r="D14" s="116"/>
      <c r="G14" s="67"/>
      <c r="K14" s="67"/>
      <c r="L14" s="67"/>
      <c r="M14" s="67"/>
      <c r="N14" s="67"/>
      <c r="O14" s="67"/>
    </row>
    <row r="15" spans="2:23" ht="30" customHeight="1">
      <c r="B15" s="436"/>
      <c r="C15" s="437"/>
      <c r="D15" s="116"/>
      <c r="G15" s="67"/>
      <c r="K15" s="67"/>
      <c r="L15" s="67"/>
      <c r="M15" s="67"/>
      <c r="N15" s="67"/>
      <c r="O15" s="67"/>
    </row>
    <row r="16" spans="2:23" ht="30" customHeight="1">
      <c r="B16" s="441"/>
      <c r="C16" s="442"/>
      <c r="D16" s="116"/>
      <c r="G16" s="67"/>
      <c r="K16" s="67"/>
      <c r="L16" s="67"/>
      <c r="M16" s="67"/>
      <c r="N16" s="67"/>
      <c r="O16" s="67"/>
    </row>
    <row r="17" spans="2:23" ht="30" customHeight="1">
      <c r="B17" s="622"/>
      <c r="C17" s="622"/>
      <c r="D17" s="116"/>
    </row>
    <row r="18" spans="2:23" ht="18" hidden="1" customHeight="1">
      <c r="B18" s="120"/>
      <c r="C18" s="120"/>
      <c r="D18" s="116"/>
      <c r="E18" s="144" t="s">
        <v>115</v>
      </c>
      <c r="F18" s="75" t="s">
        <v>22</v>
      </c>
      <c r="G18" s="76" t="s">
        <v>21</v>
      </c>
      <c r="H18" s="77" t="s">
        <v>101</v>
      </c>
      <c r="I18" s="77" t="s">
        <v>24</v>
      </c>
      <c r="J18" s="145" t="s">
        <v>25</v>
      </c>
      <c r="K18" s="105" t="s">
        <v>116</v>
      </c>
      <c r="L18" s="79" t="s">
        <v>117</v>
      </c>
      <c r="M18" s="80" t="s">
        <v>103</v>
      </c>
      <c r="N18" s="106"/>
      <c r="O18" s="81" t="s">
        <v>104</v>
      </c>
      <c r="P18" s="107" t="s">
        <v>106</v>
      </c>
      <c r="Q18" s="108"/>
      <c r="R18" s="82"/>
      <c r="S18" s="83" t="s">
        <v>118</v>
      </c>
    </row>
    <row r="19" spans="2:23" ht="37" hidden="1" customHeight="1">
      <c r="B19" s="120"/>
      <c r="C19" s="120"/>
      <c r="D19" s="116"/>
      <c r="E19" s="593" t="s">
        <v>119</v>
      </c>
      <c r="F19" s="596">
        <f>G19/C9</f>
        <v>0.2</v>
      </c>
      <c r="G19" s="598">
        <f>C9-H19</f>
        <v>20000</v>
      </c>
      <c r="H19" s="588">
        <v>80000</v>
      </c>
      <c r="I19" s="84" t="s">
        <v>26</v>
      </c>
      <c r="J19" s="111">
        <f>ROUNDUP(PMT(C7/12,60,-H19,K19)-C11/60,2)</f>
        <v>1392.92</v>
      </c>
      <c r="K19" s="625">
        <f>C9*20%</f>
        <v>20000</v>
      </c>
      <c r="L19" s="112">
        <f>J19*60-(H19-K19)</f>
        <v>23575.200000000012</v>
      </c>
      <c r="M19" s="87">
        <f>RATE(60,-J19,$H$19,-$K$19)*12</f>
        <v>8.9436088776337658E-2</v>
      </c>
      <c r="N19" s="87"/>
      <c r="O19" s="87">
        <f>L19/$H$19/5</f>
        <v>5.8938000000000025E-2</v>
      </c>
      <c r="P19" s="618" t="str">
        <f>VLOOKUP(C7,'参数-非厂贴方案配置'!A4:I6,8,0)</f>
        <v>无方案</v>
      </c>
      <c r="Q19" s="108"/>
      <c r="R19" s="88"/>
      <c r="S19" s="89" t="s">
        <v>27</v>
      </c>
      <c r="T19" s="581">
        <v>24</v>
      </c>
      <c r="U19" s="582"/>
      <c r="V19" s="113" t="s">
        <v>120</v>
      </c>
      <c r="W19" s="91"/>
    </row>
    <row r="20" spans="2:23" ht="45" hidden="1" customHeight="1">
      <c r="B20" s="120"/>
      <c r="C20" s="120"/>
      <c r="D20" s="114"/>
      <c r="E20" s="594"/>
      <c r="F20" s="596"/>
      <c r="G20" s="598"/>
      <c r="H20" s="588"/>
      <c r="I20" s="84" t="s">
        <v>28</v>
      </c>
      <c r="J20" s="111">
        <f>ROUNDUP(PMT(C7/12,48,-H19,K19)-C11/48,2)</f>
        <v>1640.12</v>
      </c>
      <c r="K20" s="625"/>
      <c r="L20" s="112">
        <f>J20*48-(H19-K19)</f>
        <v>18725.759999999995</v>
      </c>
      <c r="M20" s="87">
        <f>RATE(48,-J20,$H$19,-$K$19)*12</f>
        <v>8.9339355853581173E-2</v>
      </c>
      <c r="N20" s="87"/>
      <c r="O20" s="87">
        <f>L20/$H$19/4</f>
        <v>5.8517999999999987E-2</v>
      </c>
      <c r="P20" s="618"/>
      <c r="Q20" s="108"/>
      <c r="R20" s="88"/>
      <c r="S20" s="89" t="s">
        <v>29</v>
      </c>
      <c r="T20" s="583">
        <f>H19-(J19*T19-T22)</f>
        <v>59147.72016232858</v>
      </c>
      <c r="U20" s="584"/>
      <c r="V20" s="92"/>
      <c r="W20" s="91"/>
    </row>
    <row r="21" spans="2:23" ht="30" hidden="1" customHeight="1">
      <c r="B21" s="120"/>
      <c r="C21" s="120"/>
      <c r="D21" s="102"/>
      <c r="E21" s="594"/>
      <c r="F21" s="596"/>
      <c r="G21" s="598"/>
      <c r="H21" s="588"/>
      <c r="I21" s="84" t="s">
        <v>30</v>
      </c>
      <c r="J21" s="111">
        <f>ROUNDUP(PMT(C7/12,36,-H19,K21)-C11/36,2)</f>
        <v>1811.25</v>
      </c>
      <c r="K21" s="625">
        <f>C9*30%</f>
        <v>30000</v>
      </c>
      <c r="L21" s="112">
        <f>J21*36-(H19-K21)</f>
        <v>15205</v>
      </c>
      <c r="M21" s="87">
        <f>RATE(36,-J21,$H$19,-$K$21)*12</f>
        <v>8.9225772526988364E-2</v>
      </c>
      <c r="N21" s="87"/>
      <c r="O21" s="87">
        <f>L21/$H$19/3</f>
        <v>6.335416666666667E-2</v>
      </c>
      <c r="P21" s="618"/>
      <c r="Q21" s="108"/>
      <c r="R21" s="94"/>
      <c r="S21" s="89" t="s">
        <v>110</v>
      </c>
      <c r="T21" s="573">
        <f>L19-T22</f>
        <v>10997.399837671426</v>
      </c>
      <c r="U21" s="574"/>
      <c r="V21" s="92"/>
      <c r="W21" s="91"/>
    </row>
    <row r="22" spans="2:23" ht="20" hidden="1" customHeight="1">
      <c r="B22" s="131"/>
      <c r="C22" s="131"/>
      <c r="D22" s="131"/>
      <c r="E22" s="594"/>
      <c r="F22" s="596"/>
      <c r="G22" s="598"/>
      <c r="H22" s="588"/>
      <c r="I22" s="84" t="s">
        <v>32</v>
      </c>
      <c r="J22" s="111">
        <f>ROUNDUP(PMT(C7/12,24,-H19,K21)-C11/24,2)</f>
        <v>2504.1200000000003</v>
      </c>
      <c r="K22" s="625"/>
      <c r="L22" s="112">
        <f>J22*24-(H19-K21)</f>
        <v>10098.880000000005</v>
      </c>
      <c r="M22" s="87">
        <f>RATE(24,-J22,$H$19,-$K$21)*12</f>
        <v>8.8932458300880313E-2</v>
      </c>
      <c r="N22" s="87"/>
      <c r="O22" s="87">
        <f>L22/$H$19/2</f>
        <v>6.3118000000000035E-2</v>
      </c>
      <c r="P22" s="618"/>
      <c r="Q22" s="108"/>
      <c r="R22" s="94"/>
      <c r="S22" s="96" t="s">
        <v>111</v>
      </c>
      <c r="T22" s="585">
        <f>(H19*(M19/12)-J19)*((1+(M19/12))^(T19)-1)/(M19/12)+(J19)*T19</f>
        <v>12577.800162328585</v>
      </c>
      <c r="U22" s="585"/>
    </row>
    <row r="23" spans="2:23" ht="20" hidden="1" customHeight="1">
      <c r="B23" s="131"/>
      <c r="C23" s="131"/>
      <c r="D23" s="131"/>
      <c r="E23" s="594"/>
      <c r="F23" s="623"/>
      <c r="G23" s="624"/>
      <c r="H23" s="589"/>
      <c r="I23" s="117" t="s">
        <v>112</v>
      </c>
      <c r="J23" s="118">
        <f>ROUNDUP(PMT(C7/12,18,-H19,K21)-C11/18,2)</f>
        <v>3198.3700000000003</v>
      </c>
      <c r="K23" s="626"/>
      <c r="L23" s="119">
        <f>J23*18-(H19-K21)</f>
        <v>7570.6600000000035</v>
      </c>
      <c r="M23" s="87">
        <f>RATE(18,-J23,$H$19,-$K$21)*12</f>
        <v>8.8640605084343127E-2</v>
      </c>
      <c r="N23" s="87"/>
      <c r="O23" s="87">
        <f>L23/$H$19/1.5</f>
        <v>6.3088833333333358E-2</v>
      </c>
      <c r="P23" s="621"/>
      <c r="Q23" s="108"/>
      <c r="R23" s="94"/>
    </row>
    <row r="24" spans="2:23" ht="20" hidden="1" customHeight="1" thickBot="1">
      <c r="B24" s="131"/>
      <c r="C24" s="131"/>
      <c r="D24" s="131"/>
      <c r="E24" s="595"/>
      <c r="F24" s="597"/>
      <c r="G24" s="599"/>
      <c r="H24" s="590"/>
      <c r="I24" s="98" t="s">
        <v>38</v>
      </c>
      <c r="J24" s="121">
        <f>ROUNDUP(PMT(C7/12,12,-H19,K21)-C11/12,2)</f>
        <v>4588.2800000000007</v>
      </c>
      <c r="K24" s="627"/>
      <c r="L24" s="122">
        <f>J24*12-(H19-K21)</f>
        <v>5059.3600000000079</v>
      </c>
      <c r="M24" s="101">
        <f>RATE(12,-J24,$H$19,-$K$21)*12</f>
        <v>8.8071013214803415E-2</v>
      </c>
      <c r="N24" s="101"/>
      <c r="O24" s="101">
        <f>L24/$H$19/1</f>
        <v>6.3242000000000104E-2</v>
      </c>
      <c r="P24" s="620"/>
    </row>
    <row r="25" spans="2:23" ht="20" hidden="1" customHeight="1" thickBot="1">
      <c r="B25" s="131"/>
      <c r="C25" s="131"/>
      <c r="D25" s="131"/>
    </row>
    <row r="26" spans="2:23" ht="32" hidden="1" customHeight="1">
      <c r="B26" s="131"/>
      <c r="C26" s="131"/>
      <c r="D26" s="131"/>
      <c r="E26" s="144" t="s">
        <v>121</v>
      </c>
      <c r="F26" s="75" t="s">
        <v>22</v>
      </c>
      <c r="G26" s="76" t="s">
        <v>21</v>
      </c>
      <c r="H26" s="77" t="s">
        <v>122</v>
      </c>
      <c r="I26" s="77" t="s">
        <v>24</v>
      </c>
      <c r="J26" s="145" t="s">
        <v>25</v>
      </c>
      <c r="K26" s="105" t="s">
        <v>116</v>
      </c>
      <c r="L26" s="79" t="s">
        <v>117</v>
      </c>
      <c r="M26" s="80" t="s">
        <v>103</v>
      </c>
      <c r="N26" s="106"/>
      <c r="O26" s="81" t="s">
        <v>104</v>
      </c>
      <c r="P26" s="107" t="s">
        <v>106</v>
      </c>
    </row>
    <row r="27" spans="2:23" ht="20" hidden="1" customHeight="1" thickBot="1">
      <c r="B27" s="131"/>
      <c r="C27" s="131"/>
      <c r="D27" s="131"/>
      <c r="E27" s="123" t="s">
        <v>123</v>
      </c>
      <c r="F27" s="124">
        <v>0.5</v>
      </c>
      <c r="G27" s="125">
        <f>C9*F27</f>
        <v>50000</v>
      </c>
      <c r="H27" s="126">
        <f>C9-G27</f>
        <v>50000</v>
      </c>
      <c r="I27" s="127" t="s">
        <v>38</v>
      </c>
      <c r="J27" s="121">
        <f>ROUNDUP(L27/12,2)</f>
        <v>365.84</v>
      </c>
      <c r="K27" s="129">
        <f>C9*50%</f>
        <v>50000</v>
      </c>
      <c r="L27" s="122">
        <f>H27*C7-C11</f>
        <v>4390</v>
      </c>
      <c r="M27" s="101">
        <f>RATE(12,-J27,H27,-K27)*12</f>
        <v>8.7801600000160351E-2</v>
      </c>
      <c r="N27" s="101"/>
      <c r="O27" s="101">
        <f>L27/H27/1</f>
        <v>8.7800000000000003E-2</v>
      </c>
      <c r="P27" s="130" t="str">
        <f>VLOOKUP(C7,'参数-非厂贴方案配置'!A4:I6,9,0)</f>
        <v>无方案</v>
      </c>
    </row>
    <row r="28" spans="2:23" ht="20" hidden="1" customHeight="1">
      <c r="B28" s="131"/>
      <c r="C28" s="131"/>
      <c r="D28" s="131"/>
    </row>
    <row r="29" spans="2:23" ht="20" customHeight="1">
      <c r="B29" s="131"/>
      <c r="C29" s="131"/>
      <c r="D29" s="131"/>
    </row>
    <row r="30" spans="2:23" ht="20" customHeight="1">
      <c r="B30" s="131"/>
      <c r="C30" s="131"/>
      <c r="D30" s="131"/>
    </row>
    <row r="31" spans="2:23" ht="20" customHeight="1">
      <c r="B31" s="131"/>
      <c r="C31" s="131"/>
      <c r="D31" s="131"/>
    </row>
    <row r="32" spans="2:23" ht="20" customHeight="1">
      <c r="B32" s="131"/>
      <c r="C32" s="131"/>
      <c r="D32" s="131"/>
    </row>
    <row r="33" spans="2:4" ht="20" customHeight="1">
      <c r="B33" s="131"/>
      <c r="C33" s="131"/>
      <c r="D33" s="131"/>
    </row>
    <row r="34" spans="2:4" ht="20" customHeight="1">
      <c r="B34" s="131"/>
      <c r="C34" s="131"/>
      <c r="D34" s="131"/>
    </row>
    <row r="35" spans="2:4" ht="20" customHeight="1">
      <c r="B35" s="131"/>
      <c r="C35" s="131"/>
      <c r="D35" s="131"/>
    </row>
    <row r="36" spans="2:4" ht="20" customHeight="1">
      <c r="B36" s="131"/>
      <c r="C36" s="131"/>
      <c r="D36" s="131"/>
    </row>
    <row r="37" spans="2:4" ht="20" customHeight="1">
      <c r="B37" s="131"/>
      <c r="C37" s="131"/>
      <c r="D37" s="131"/>
    </row>
    <row r="38" spans="2:4" ht="20" customHeight="1">
      <c r="B38" s="131"/>
      <c r="C38" s="131"/>
      <c r="D38" s="131"/>
    </row>
    <row r="39" spans="2:4" ht="20" customHeight="1">
      <c r="B39" s="131"/>
      <c r="C39" s="131"/>
      <c r="D39" s="131"/>
    </row>
    <row r="40" spans="2:4" ht="20" customHeight="1">
      <c r="B40" s="131"/>
      <c r="C40" s="131"/>
      <c r="D40" s="131"/>
    </row>
    <row r="41" spans="2:4" ht="20" customHeight="1">
      <c r="B41" s="131"/>
      <c r="C41" s="131"/>
      <c r="D41" s="131"/>
    </row>
    <row r="42" spans="2:4" ht="20" customHeight="1">
      <c r="B42" s="131"/>
      <c r="C42" s="131"/>
      <c r="D42" s="131"/>
    </row>
    <row r="43" spans="2:4" ht="20" customHeight="1">
      <c r="B43" s="131"/>
      <c r="C43" s="131"/>
      <c r="D43" s="131"/>
    </row>
    <row r="44" spans="2:4" ht="20" customHeight="1">
      <c r="B44" s="131"/>
      <c r="C44" s="131"/>
      <c r="D44" s="131"/>
    </row>
    <row r="45" spans="2:4" ht="20" customHeight="1">
      <c r="B45" s="131"/>
      <c r="C45" s="131"/>
      <c r="D45" s="131"/>
    </row>
    <row r="46" spans="2:4" ht="20" customHeight="1">
      <c r="B46" s="131"/>
      <c r="C46" s="131"/>
      <c r="D46" s="131"/>
    </row>
    <row r="47" spans="2:4" ht="20" customHeight="1">
      <c r="B47" s="131"/>
      <c r="C47" s="131"/>
      <c r="D47" s="131"/>
    </row>
    <row r="48" spans="2:4" ht="20" customHeight="1">
      <c r="B48" s="131"/>
      <c r="C48" s="131"/>
      <c r="D48" s="131"/>
    </row>
    <row r="49" spans="2:4" ht="20" customHeight="1">
      <c r="B49" s="131"/>
      <c r="C49" s="131"/>
      <c r="D49" s="131"/>
    </row>
    <row r="50" spans="2:4" ht="20" customHeight="1">
      <c r="B50" s="131"/>
      <c r="C50" s="131"/>
      <c r="D50" s="131"/>
    </row>
    <row r="51" spans="2:4" ht="20" customHeight="1">
      <c r="B51" s="131"/>
      <c r="C51" s="131"/>
      <c r="D51" s="131"/>
    </row>
    <row r="52" spans="2:4" ht="20" customHeight="1">
      <c r="B52" s="131"/>
      <c r="C52" s="131"/>
      <c r="D52" s="131"/>
    </row>
    <row r="53" spans="2:4" ht="20" customHeight="1">
      <c r="B53" s="131"/>
      <c r="C53" s="131"/>
      <c r="D53" s="131"/>
    </row>
    <row r="54" spans="2:4" ht="20" customHeight="1">
      <c r="B54" s="131"/>
      <c r="C54" s="131"/>
      <c r="D54" s="131"/>
    </row>
    <row r="55" spans="2:4" ht="20" customHeight="1">
      <c r="B55" s="131"/>
      <c r="C55" s="131"/>
      <c r="D55" s="131"/>
    </row>
    <row r="56" spans="2:4" ht="20" customHeight="1">
      <c r="B56" s="131"/>
      <c r="C56" s="131"/>
      <c r="D56" s="131"/>
    </row>
    <row r="57" spans="2:4" ht="20" customHeight="1">
      <c r="B57" s="131"/>
      <c r="C57" s="131"/>
      <c r="D57" s="131"/>
    </row>
    <row r="58" spans="2:4" ht="20" customHeight="1">
      <c r="B58" s="131"/>
      <c r="C58" s="131"/>
      <c r="D58" s="131"/>
    </row>
    <row r="59" spans="2:4" ht="20" customHeight="1">
      <c r="B59" s="131"/>
      <c r="C59" s="131"/>
      <c r="D59" s="131"/>
    </row>
    <row r="60" spans="2:4" ht="20" customHeight="1">
      <c r="B60" s="131"/>
      <c r="C60" s="131"/>
      <c r="D60" s="131"/>
    </row>
    <row r="61" spans="2:4" ht="20" customHeight="1">
      <c r="B61" s="131"/>
      <c r="C61" s="131"/>
      <c r="D61" s="131"/>
    </row>
    <row r="62" spans="2:4" ht="20" customHeight="1">
      <c r="B62" s="131"/>
      <c r="C62" s="131"/>
      <c r="D62" s="131"/>
    </row>
    <row r="63" spans="2:4" ht="20" customHeight="1">
      <c r="B63" s="131"/>
      <c r="C63" s="131"/>
      <c r="D63" s="131"/>
    </row>
    <row r="64" spans="2:4" ht="20" customHeight="1">
      <c r="B64" s="131"/>
      <c r="C64" s="131"/>
      <c r="D64" s="131"/>
    </row>
    <row r="65" spans="2:4" ht="20" customHeight="1">
      <c r="B65" s="131"/>
      <c r="C65" s="131"/>
      <c r="D65" s="131"/>
    </row>
    <row r="66" spans="2:4" ht="20" customHeight="1">
      <c r="D66" s="131"/>
    </row>
  </sheetData>
  <sheetProtection algorithmName="SHA-512" hashValue="HE9LdT/nGTxBd9+t38VXVXatIKP/ccMDTcNa2WkytxnyOwmz9w9dtGhgEbOveCtQxx5r/SLOhOQ4Zrozw4fXeA==" saltValue="YTMcMMTvYoEziCcc8+pEng==" spinCount="100000" sheet="1" objects="1" scenarios="1"/>
  <mergeCells count="32">
    <mergeCell ref="O4:P9"/>
    <mergeCell ref="B9:B10"/>
    <mergeCell ref="C9:C10"/>
    <mergeCell ref="G19:G24"/>
    <mergeCell ref="T4:U4"/>
    <mergeCell ref="B5:B6"/>
    <mergeCell ref="C5:C6"/>
    <mergeCell ref="T5:U5"/>
    <mergeCell ref="T6:U6"/>
    <mergeCell ref="B7:B8"/>
    <mergeCell ref="C7:C8"/>
    <mergeCell ref="T7:U7"/>
    <mergeCell ref="B3:B4"/>
    <mergeCell ref="C3:C4"/>
    <mergeCell ref="O3:P3"/>
    <mergeCell ref="E4:E9"/>
    <mergeCell ref="F4:F9"/>
    <mergeCell ref="G4:G9"/>
    <mergeCell ref="H4:H9"/>
    <mergeCell ref="B11:B12"/>
    <mergeCell ref="C11:C12"/>
    <mergeCell ref="B17:C17"/>
    <mergeCell ref="E19:E24"/>
    <mergeCell ref="F19:F24"/>
    <mergeCell ref="H19:H24"/>
    <mergeCell ref="K19:K20"/>
    <mergeCell ref="P19:P24"/>
    <mergeCell ref="T19:U19"/>
    <mergeCell ref="T20:U20"/>
    <mergeCell ref="K21:K24"/>
    <mergeCell ref="T21:U21"/>
    <mergeCell ref="T22:U22"/>
  </mergeCells>
  <phoneticPr fontId="3" type="noConversion"/>
  <conditionalFormatting sqref="C11:C12">
    <cfRule type="expression" dxfId="18" priority="9">
      <formula>$C$11&lt;100</formula>
    </cfRule>
  </conditionalFormatting>
  <conditionalFormatting sqref="F4:F9">
    <cfRule type="expression" dxfId="17" priority="8">
      <formula>$F$4&lt;15%</formula>
    </cfRule>
  </conditionalFormatting>
  <conditionalFormatting sqref="F19:F24">
    <cfRule type="expression" dxfId="16" priority="7">
      <formula>$F$19&lt;20%</formula>
    </cfRule>
  </conditionalFormatting>
  <conditionalFormatting sqref="H4">
    <cfRule type="expression" dxfId="15" priority="4">
      <formula>$H$4&lt;50000</formula>
    </cfRule>
  </conditionalFormatting>
  <conditionalFormatting sqref="H19:H24">
    <cfRule type="expression" dxfId="14" priority="3">
      <formula>$H$19&lt;$C$15</formula>
    </cfRule>
  </conditionalFormatting>
  <conditionalFormatting sqref="H27">
    <cfRule type="expression" dxfId="13" priority="2">
      <formula>$H$27&lt;$C$15</formula>
    </cfRule>
  </conditionalFormatting>
  <conditionalFormatting sqref="J4:N9">
    <cfRule type="expression" dxfId="12" priority="1">
      <formula>$H$4&lt;50000</formula>
    </cfRule>
  </conditionalFormatting>
  <conditionalFormatting sqref="P19:P24">
    <cfRule type="containsText" dxfId="11" priority="6" operator="containsText" text="无方案">
      <formula>NOT(ISERROR(SEARCH("无方案",P19)))</formula>
    </cfRule>
  </conditionalFormatting>
  <conditionalFormatting sqref="P27">
    <cfRule type="containsText" dxfId="10" priority="5" operator="containsText" text="无方案">
      <formula>NOT(ISERROR(SEARCH("无方案",P27)))</formula>
    </cfRule>
  </conditionalFormatting>
  <conditionalFormatting sqref="U5">
    <cfRule type="expression" dxfId="9" priority="10">
      <formula>$B$14&lt;70000</formula>
    </cfRule>
  </conditionalFormatting>
  <conditionalFormatting sqref="U20">
    <cfRule type="expression" dxfId="8" priority="12">
      <formula>$B$14&lt;70000</formula>
    </cfRule>
  </conditionalFormatting>
  <conditionalFormatting sqref="V6:W6 U7">
    <cfRule type="expression" dxfId="7" priority="11">
      <formula>$D$14&lt;30%</formula>
    </cfRule>
  </conditionalFormatting>
  <conditionalFormatting sqref="V21:W21 U22">
    <cfRule type="expression" dxfId="6" priority="13">
      <formula>$D$14&lt;30%</formula>
    </cfRule>
  </conditionalFormatting>
  <dataValidations count="1">
    <dataValidation type="list" allowBlank="1" showInputMessage="1" showErrorMessage="1" sqref="D6" xr:uid="{00000000-0002-0000-0900-000000000000}">
      <formula1>$B$15:$B$17</formula1>
    </dataValidation>
  </dataValidations>
  <hyperlinks>
    <hyperlink ref="P1" location="试算路径及方案简述!A1" display="返回" xr:uid="{00000000-0004-0000-0900-000000000000}"/>
  </hyperlinks>
  <pageMargins left="0.7" right="0.7" top="0.75" bottom="0.75" header="0.3" footer="0.3"/>
  <pageSetup paperSize="9" orientation="portrait" horizontalDpi="300" verticalDpi="0" copies="0" r:id="rId1"/>
  <drawing r:id="rId2"/>
  <extLst>
    <ext xmlns:x14="http://schemas.microsoft.com/office/spreadsheetml/2009/9/main" uri="{CCE6A557-97BC-4b89-ADB6-D9C93CAAB3DF}">
      <x14:dataValidations xmlns:xm="http://schemas.microsoft.com/office/excel/2006/main" count="1">
        <x14:dataValidation type="list" allowBlank="1" showDropDown="1" showInputMessage="1" showErrorMessage="1" xr:uid="{00000000-0002-0000-0900-000001000000}">
          <x14:formula1>
            <xm:f>'参数-非厂贴方案配置'!$A$7:$A$7</xm:f>
          </x14:formula1>
          <xm:sqref>C7:C8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FFCC"/>
  </sheetPr>
  <dimension ref="A1:G13"/>
  <sheetViews>
    <sheetView zoomScale="60" zoomScaleNormal="60" workbookViewId="0">
      <selection activeCell="B1" sqref="B1"/>
    </sheetView>
  </sheetViews>
  <sheetFormatPr defaultColWidth="8.75" defaultRowHeight="14.5"/>
  <cols>
    <col min="1" max="1" width="13.4140625" style="146" customWidth="1"/>
    <col min="2" max="2" width="35.75" style="146" customWidth="1"/>
    <col min="3" max="3" width="23.9140625" style="146" customWidth="1"/>
    <col min="4" max="7" width="18.08203125" style="146" customWidth="1"/>
    <col min="8" max="16384" width="8.75" style="146"/>
  </cols>
  <sheetData>
    <row r="1" spans="1:7" ht="45.5" customHeight="1">
      <c r="B1" s="210" t="s">
        <v>68</v>
      </c>
    </row>
    <row r="2" spans="1:7" ht="8" customHeight="1" thickBot="1"/>
    <row r="3" spans="1:7" ht="33.5" customHeight="1">
      <c r="A3" s="648" t="s">
        <v>139</v>
      </c>
      <c r="B3" s="147" t="s">
        <v>140</v>
      </c>
      <c r="C3" s="148">
        <v>112800</v>
      </c>
    </row>
    <row r="4" spans="1:7" ht="33.5" customHeight="1">
      <c r="A4" s="648"/>
      <c r="B4" s="149" t="s">
        <v>141</v>
      </c>
      <c r="C4" s="150">
        <v>98000</v>
      </c>
      <c r="D4" s="151"/>
    </row>
    <row r="5" spans="1:7" ht="33.5" customHeight="1">
      <c r="A5" s="648"/>
      <c r="B5" s="149" t="s">
        <v>142</v>
      </c>
      <c r="C5" s="150">
        <v>4500</v>
      </c>
    </row>
    <row r="6" spans="1:7" ht="16.5" customHeight="1">
      <c r="A6" s="648"/>
      <c r="B6" s="649" t="s">
        <v>143</v>
      </c>
      <c r="C6" s="651">
        <v>15000</v>
      </c>
      <c r="D6" s="152" t="s">
        <v>144</v>
      </c>
      <c r="E6" s="153">
        <f>MIN(C4*15%,30000)</f>
        <v>14700</v>
      </c>
    </row>
    <row r="7" spans="1:7" ht="16.5" customHeight="1">
      <c r="A7" s="648"/>
      <c r="B7" s="650"/>
      <c r="C7" s="652"/>
      <c r="D7" s="152" t="s">
        <v>145</v>
      </c>
      <c r="E7" s="153">
        <f>MIN(C4*18%,35000)</f>
        <v>17640</v>
      </c>
    </row>
    <row r="8" spans="1:7" ht="33.5" customHeight="1" thickBot="1">
      <c r="A8" s="648"/>
      <c r="B8" s="154" t="s">
        <v>146</v>
      </c>
      <c r="C8" s="155">
        <f>C4+C5+C6</f>
        <v>117500</v>
      </c>
      <c r="D8" s="156" t="s">
        <v>147</v>
      </c>
      <c r="E8" s="153">
        <f>C3*115%</f>
        <v>129719.99999999999</v>
      </c>
    </row>
    <row r="9" spans="1:7" ht="33.5" customHeight="1">
      <c r="A9" s="648"/>
      <c r="B9" s="157" t="s">
        <v>148</v>
      </c>
      <c r="C9" s="158">
        <f>C4*D9</f>
        <v>83300</v>
      </c>
      <c r="D9" s="159">
        <v>0.85</v>
      </c>
    </row>
    <row r="10" spans="1:7" ht="33.5" customHeight="1" thickBot="1">
      <c r="A10" s="648"/>
      <c r="B10" s="160" t="s">
        <v>149</v>
      </c>
      <c r="C10" s="161">
        <f>(C5+C6)*D10</f>
        <v>15600</v>
      </c>
      <c r="D10" s="159">
        <v>0.8</v>
      </c>
      <c r="G10" s="151"/>
    </row>
    <row r="11" spans="1:7" ht="33.5" customHeight="1" thickBot="1">
      <c r="A11" s="648"/>
      <c r="B11" s="162" t="s">
        <v>150</v>
      </c>
      <c r="C11" s="163">
        <f>C9+C10</f>
        <v>98900</v>
      </c>
    </row>
    <row r="12" spans="1:7" ht="33.5" customHeight="1">
      <c r="A12" s="648"/>
      <c r="B12" s="164" t="s">
        <v>22</v>
      </c>
      <c r="C12" s="165">
        <f>(C8-C11)/C8</f>
        <v>0.15829787234042553</v>
      </c>
    </row>
    <row r="13" spans="1:7" ht="33.5" customHeight="1" thickBot="1">
      <c r="A13" s="648"/>
      <c r="B13" s="653" t="s">
        <v>151</v>
      </c>
      <c r="C13" s="654"/>
    </row>
  </sheetData>
  <sheetProtection algorithmName="SHA-512" hashValue="bUxSlhrtXadFPs5qXOwESFYX5igHs93KjdU7ZsWRQUyYpKEgFdUZxkGZA4j0BZcYRd7WI0VyBfqHl0HGjkE2XA==" saltValue="rGD2h6h4wFECn3nEI9EIZg==" spinCount="100000" sheet="1" objects="1" scenarios="1"/>
  <mergeCells count="4">
    <mergeCell ref="A3:A13"/>
    <mergeCell ref="B6:B7"/>
    <mergeCell ref="C6:C7"/>
    <mergeCell ref="B13:C13"/>
  </mergeCells>
  <phoneticPr fontId="3" type="noConversion"/>
  <conditionalFormatting sqref="C6:C7">
    <cfRule type="expression" dxfId="5" priority="4">
      <formula>$C$6&gt;$E$7</formula>
    </cfRule>
  </conditionalFormatting>
  <conditionalFormatting sqref="C8:E8">
    <cfRule type="expression" dxfId="4" priority="1">
      <formula>$C$8&gt;$E$8</formula>
    </cfRule>
  </conditionalFormatting>
  <conditionalFormatting sqref="D6:E6">
    <cfRule type="expression" dxfId="3" priority="2">
      <formula>$C$6&gt;$E$6</formula>
    </cfRule>
  </conditionalFormatting>
  <conditionalFormatting sqref="D7:E7">
    <cfRule type="expression" dxfId="2" priority="3">
      <formula>$C$6&gt;$E$7</formula>
    </cfRule>
  </conditionalFormatting>
  <hyperlinks>
    <hyperlink ref="B1" location="试算路径及方案简述!A1" display="返回" xr:uid="{00000000-0004-0000-0A00-000000000000}"/>
  </hyperlinks>
  <pageMargins left="0.7" right="0.7" top="0.75" bottom="0.75" header="0.3" footer="0.3"/>
  <pageSetup orientation="portrait" horizontalDpi="300" verticalDpi="0" copies="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4"/>
  <sheetViews>
    <sheetView showGridLines="0" zoomScale="53" zoomScaleNormal="53" workbookViewId="0">
      <selection activeCell="D17" sqref="D17"/>
    </sheetView>
  </sheetViews>
  <sheetFormatPr defaultColWidth="8.6640625" defaultRowHeight="14"/>
  <cols>
    <col min="1" max="1" width="7.4140625" style="279" customWidth="1"/>
    <col min="2" max="7" width="39.4140625" style="279" customWidth="1"/>
    <col min="8" max="8" width="14.4140625" style="279" customWidth="1"/>
    <col min="9" max="9" width="28.08203125" style="279" customWidth="1"/>
    <col min="10" max="11" width="16" style="279" customWidth="1"/>
    <col min="12" max="16384" width="8.6640625" style="279"/>
  </cols>
  <sheetData>
    <row r="1" spans="1:11" ht="14.5" thickBot="1"/>
    <row r="2" spans="1:11" ht="28" customHeight="1" thickBot="1">
      <c r="A2" s="280" t="s">
        <v>343</v>
      </c>
      <c r="B2" s="655" t="s">
        <v>344</v>
      </c>
      <c r="C2" s="656"/>
      <c r="D2" s="656"/>
      <c r="E2" s="656"/>
      <c r="F2" s="657"/>
      <c r="G2" s="655" t="s">
        <v>345</v>
      </c>
      <c r="H2" s="656"/>
      <c r="I2" s="656"/>
      <c r="J2" s="656"/>
      <c r="K2" s="657"/>
    </row>
    <row r="3" spans="1:11">
      <c r="A3" s="279" t="s">
        <v>346</v>
      </c>
      <c r="B3" s="281" t="s">
        <v>108</v>
      </c>
      <c r="C3" s="281" t="s">
        <v>119</v>
      </c>
      <c r="D3" s="281">
        <v>5050</v>
      </c>
      <c r="E3" s="281">
        <v>433</v>
      </c>
      <c r="F3" s="281" t="s">
        <v>347</v>
      </c>
      <c r="G3" s="281" t="s">
        <v>108</v>
      </c>
      <c r="H3" s="281" t="s">
        <v>119</v>
      </c>
      <c r="I3" s="281">
        <v>5050</v>
      </c>
      <c r="J3" s="281">
        <v>433</v>
      </c>
      <c r="K3" s="281" t="s">
        <v>347</v>
      </c>
    </row>
    <row r="4" spans="1:11" ht="94.5" customHeight="1">
      <c r="A4" s="282">
        <v>0.109</v>
      </c>
      <c r="B4" s="283" t="s">
        <v>435</v>
      </c>
      <c r="C4" s="284" t="s">
        <v>348</v>
      </c>
      <c r="D4" s="284" t="s">
        <v>348</v>
      </c>
      <c r="E4" s="284" t="s">
        <v>348</v>
      </c>
      <c r="F4" s="284" t="s">
        <v>348</v>
      </c>
      <c r="G4" s="283" t="s">
        <v>438</v>
      </c>
      <c r="H4" s="284" t="s">
        <v>348</v>
      </c>
      <c r="I4" s="284" t="s">
        <v>348</v>
      </c>
      <c r="J4" s="284" t="s">
        <v>348</v>
      </c>
      <c r="K4" s="284" t="s">
        <v>348</v>
      </c>
    </row>
    <row r="5" spans="1:11" ht="83" customHeight="1">
      <c r="A5" s="282">
        <v>9.9000000000000005E-2</v>
      </c>
      <c r="B5" s="283" t="s">
        <v>436</v>
      </c>
      <c r="C5" s="284" t="s">
        <v>348</v>
      </c>
      <c r="D5" s="284" t="s">
        <v>348</v>
      </c>
      <c r="E5" s="284" t="s">
        <v>348</v>
      </c>
      <c r="F5" s="284" t="s">
        <v>348</v>
      </c>
      <c r="G5" s="283" t="s">
        <v>439</v>
      </c>
      <c r="H5" s="284" t="s">
        <v>348</v>
      </c>
      <c r="I5" s="284" t="s">
        <v>348</v>
      </c>
      <c r="J5" s="284" t="s">
        <v>348</v>
      </c>
      <c r="K5" s="284" t="s">
        <v>348</v>
      </c>
    </row>
    <row r="6" spans="1:11" ht="84">
      <c r="A6" s="282">
        <v>8.9800000000000005E-2</v>
      </c>
      <c r="B6" s="283" t="s">
        <v>437</v>
      </c>
      <c r="C6" s="284" t="s">
        <v>348</v>
      </c>
      <c r="D6" s="284" t="s">
        <v>348</v>
      </c>
      <c r="E6" s="284" t="s">
        <v>348</v>
      </c>
      <c r="F6" s="284" t="s">
        <v>348</v>
      </c>
      <c r="G6" s="283" t="s">
        <v>440</v>
      </c>
      <c r="H6" s="284" t="s">
        <v>348</v>
      </c>
      <c r="I6" s="284" t="s">
        <v>348</v>
      </c>
      <c r="J6" s="284" t="s">
        <v>348</v>
      </c>
      <c r="K6" s="284" t="s">
        <v>348</v>
      </c>
    </row>
    <row r="12" spans="1:11">
      <c r="A12" s="286" t="s">
        <v>349</v>
      </c>
      <c r="D12" s="287"/>
    </row>
    <row r="13" spans="1:11" s="289" customFormat="1">
      <c r="A13" s="284" t="s">
        <v>26</v>
      </c>
      <c r="B13" s="288" t="s">
        <v>350</v>
      </c>
    </row>
    <row r="14" spans="1:11" s="289" customFormat="1">
      <c r="A14" s="284" t="s">
        <v>26</v>
      </c>
      <c r="B14" s="288" t="s">
        <v>351</v>
      </c>
    </row>
    <row r="20" spans="1:3">
      <c r="A20" s="280" t="s">
        <v>352</v>
      </c>
      <c r="B20" s="290" t="s">
        <v>353</v>
      </c>
      <c r="C20" s="290" t="s">
        <v>354</v>
      </c>
    </row>
    <row r="21" spans="1:3" ht="28">
      <c r="A21" s="290" t="s">
        <v>26</v>
      </c>
      <c r="B21" s="283" t="s">
        <v>355</v>
      </c>
      <c r="C21" s="283" t="s">
        <v>356</v>
      </c>
    </row>
    <row r="22" spans="1:3" ht="28">
      <c r="A22" s="290" t="s">
        <v>30</v>
      </c>
      <c r="B22" s="283" t="s">
        <v>357</v>
      </c>
      <c r="C22" s="283" t="s">
        <v>358</v>
      </c>
    </row>
    <row r="23" spans="1:3" ht="28">
      <c r="A23" s="284" t="s">
        <v>26</v>
      </c>
      <c r="B23" s="285" t="s">
        <v>359</v>
      </c>
      <c r="C23" s="285" t="s">
        <v>360</v>
      </c>
    </row>
    <row r="24" spans="1:3" ht="28">
      <c r="A24" s="284" t="s">
        <v>30</v>
      </c>
      <c r="B24" s="285" t="s">
        <v>361</v>
      </c>
      <c r="C24" s="285" t="s">
        <v>362</v>
      </c>
    </row>
  </sheetData>
  <mergeCells count="2">
    <mergeCell ref="B2:F2"/>
    <mergeCell ref="G2:K2"/>
  </mergeCells>
  <phoneticPr fontId="3" type="noConversion"/>
  <pageMargins left="0.7" right="0.7" top="0.75" bottom="0.75" header="0.3" footer="0.3"/>
  <pageSetup paperSize="9" orientation="portrait" horizontalDpi="300" verticalDpi="0" copies="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B1:O41"/>
  <sheetViews>
    <sheetView zoomScale="50" zoomScaleNormal="50" workbookViewId="0">
      <selection activeCell="C2" sqref="C2"/>
    </sheetView>
  </sheetViews>
  <sheetFormatPr defaultColWidth="8.9140625" defaultRowHeight="16.5"/>
  <cols>
    <col min="1" max="1" width="0.75" style="293" customWidth="1"/>
    <col min="2" max="2" width="11.33203125" style="293" customWidth="1"/>
    <col min="3" max="3" width="65.4140625" style="167" customWidth="1"/>
    <col min="4" max="4" width="23.4140625" style="167" customWidth="1"/>
    <col min="5" max="5" width="15.4140625" style="167" customWidth="1"/>
    <col min="6" max="6" width="34.58203125" style="167" customWidth="1"/>
    <col min="7" max="7" width="4.08203125" style="293" customWidth="1"/>
    <col min="8" max="8" width="27.4140625" style="168" customWidth="1"/>
    <col min="9" max="9" width="28.6640625" style="168" customWidth="1"/>
    <col min="10" max="10" width="21" style="168" customWidth="1"/>
    <col min="11" max="11" width="41.4140625" style="168" customWidth="1"/>
    <col min="12" max="12" width="43.4140625" style="168" customWidth="1"/>
    <col min="13" max="13" width="23.4140625" style="168" customWidth="1"/>
    <col min="14" max="16384" width="8.9140625" style="293"/>
  </cols>
  <sheetData>
    <row r="1" spans="3:15" ht="4.75" customHeight="1">
      <c r="C1" s="166"/>
      <c r="D1" s="166"/>
      <c r="E1" s="166"/>
      <c r="H1" s="169"/>
    </row>
    <row r="2" spans="3:15" ht="39.5" customHeight="1">
      <c r="C2" s="294" t="s">
        <v>68</v>
      </c>
      <c r="D2" s="166"/>
      <c r="E2" s="166"/>
      <c r="H2" s="169"/>
    </row>
    <row r="3" spans="3:15" ht="6" customHeight="1">
      <c r="H3" s="170"/>
      <c r="I3" s="171"/>
      <c r="J3" s="172"/>
      <c r="K3" s="175"/>
      <c r="L3" s="175"/>
      <c r="M3" s="171"/>
      <c r="N3" s="295"/>
      <c r="O3" s="296"/>
    </row>
    <row r="4" spans="3:15" s="175" customFormat="1" ht="18" customHeight="1">
      <c r="C4" s="173" t="s">
        <v>152</v>
      </c>
      <c r="D4" s="174"/>
    </row>
    <row r="5" spans="3:15" s="175" customFormat="1" ht="22.5" thickBot="1">
      <c r="C5" s="176" t="s">
        <v>153</v>
      </c>
      <c r="D5" s="177"/>
      <c r="E5" s="178"/>
      <c r="F5" s="178"/>
      <c r="H5" s="179" t="s">
        <v>335</v>
      </c>
      <c r="I5" s="179"/>
      <c r="J5" s="179"/>
      <c r="K5" s="180"/>
      <c r="L5" s="176"/>
    </row>
    <row r="6" spans="3:15" s="175" customFormat="1" ht="17" thickBot="1">
      <c r="C6" s="181" t="s">
        <v>154</v>
      </c>
      <c r="D6" s="737" t="s">
        <v>155</v>
      </c>
      <c r="E6" s="737"/>
      <c r="F6" s="738"/>
      <c r="H6" s="182" t="s">
        <v>154</v>
      </c>
      <c r="I6" s="183" t="s">
        <v>156</v>
      </c>
      <c r="J6" s="183" t="s">
        <v>157</v>
      </c>
      <c r="K6" s="183" t="s">
        <v>158</v>
      </c>
      <c r="L6" s="184" t="s">
        <v>159</v>
      </c>
    </row>
    <row r="7" spans="3:15" s="175" customFormat="1" ht="28.25" customHeight="1">
      <c r="C7" s="744" t="s">
        <v>160</v>
      </c>
      <c r="D7" s="747" t="s">
        <v>161</v>
      </c>
      <c r="E7" s="747"/>
      <c r="F7" s="748"/>
      <c r="H7" s="751" t="s">
        <v>336</v>
      </c>
      <c r="I7" s="754" t="s">
        <v>162</v>
      </c>
      <c r="J7" s="731" t="s">
        <v>163</v>
      </c>
      <c r="K7" s="734" t="s">
        <v>164</v>
      </c>
      <c r="L7" s="710" t="s">
        <v>165</v>
      </c>
    </row>
    <row r="8" spans="3:15" s="175" customFormat="1" ht="28.25" customHeight="1" thickBot="1">
      <c r="C8" s="745"/>
      <c r="D8" s="749"/>
      <c r="E8" s="749"/>
      <c r="F8" s="750"/>
      <c r="H8" s="752"/>
      <c r="I8" s="755"/>
      <c r="J8" s="732"/>
      <c r="K8" s="735"/>
      <c r="L8" s="711"/>
    </row>
    <row r="9" spans="3:15" s="175" customFormat="1" ht="28.25" customHeight="1">
      <c r="C9" s="746"/>
      <c r="D9" s="749"/>
      <c r="E9" s="749"/>
      <c r="F9" s="750"/>
      <c r="H9" s="752"/>
      <c r="I9" s="756" t="s">
        <v>166</v>
      </c>
      <c r="J9" s="732"/>
      <c r="K9" s="735"/>
      <c r="L9" s="708" t="s">
        <v>167</v>
      </c>
    </row>
    <row r="10" spans="3:15" s="175" customFormat="1" ht="34.25" customHeight="1" thickBot="1">
      <c r="C10" s="757" t="s">
        <v>168</v>
      </c>
      <c r="D10" s="749" t="s">
        <v>169</v>
      </c>
      <c r="E10" s="749"/>
      <c r="F10" s="750"/>
      <c r="H10" s="752"/>
      <c r="I10" s="755"/>
      <c r="J10" s="732"/>
      <c r="K10" s="735"/>
      <c r="L10" s="709"/>
    </row>
    <row r="11" spans="3:15" s="175" customFormat="1" ht="34.25" customHeight="1" thickBot="1">
      <c r="C11" s="758"/>
      <c r="D11" s="759"/>
      <c r="E11" s="759"/>
      <c r="F11" s="760"/>
      <c r="H11" s="752"/>
      <c r="I11" s="756" t="s">
        <v>170</v>
      </c>
      <c r="J11" s="732"/>
      <c r="K11" s="735"/>
      <c r="L11" s="710" t="s">
        <v>171</v>
      </c>
    </row>
    <row r="12" spans="3:15" s="175" customFormat="1" ht="52.75" customHeight="1" thickBot="1">
      <c r="C12" s="185"/>
      <c r="D12" s="761"/>
      <c r="E12" s="761"/>
      <c r="H12" s="753"/>
      <c r="I12" s="755"/>
      <c r="J12" s="733"/>
      <c r="K12" s="736"/>
      <c r="L12" s="711"/>
    </row>
    <row r="13" spans="3:15" s="175" customFormat="1" ht="23.5" thickBot="1">
      <c r="C13" s="186" t="s">
        <v>172</v>
      </c>
      <c r="D13" s="186"/>
      <c r="E13" s="178"/>
      <c r="F13" s="178"/>
      <c r="H13" s="187" t="s">
        <v>173</v>
      </c>
      <c r="I13" s="187"/>
      <c r="J13" s="187"/>
      <c r="K13" s="187"/>
      <c r="L13" s="187"/>
    </row>
    <row r="14" spans="3:15" s="175" customFormat="1" ht="27.65" customHeight="1">
      <c r="C14" s="712" t="s">
        <v>174</v>
      </c>
      <c r="D14" s="713"/>
      <c r="E14" s="713"/>
      <c r="F14" s="714"/>
    </row>
    <row r="15" spans="3:15" s="175" customFormat="1" ht="22.5" thickBot="1">
      <c r="C15" s="715"/>
      <c r="D15" s="716"/>
      <c r="E15" s="716"/>
      <c r="F15" s="717"/>
      <c r="H15" s="179" t="s">
        <v>175</v>
      </c>
      <c r="I15" s="179"/>
      <c r="J15" s="179"/>
      <c r="K15" s="180"/>
      <c r="L15" s="176"/>
      <c r="M15" s="178"/>
    </row>
    <row r="16" spans="3:15" s="188" customFormat="1">
      <c r="C16" s="715"/>
      <c r="D16" s="716"/>
      <c r="E16" s="716"/>
      <c r="F16" s="717"/>
      <c r="H16" s="189" t="s">
        <v>154</v>
      </c>
      <c r="I16" s="190" t="s">
        <v>176</v>
      </c>
      <c r="J16" s="718" t="s">
        <v>157</v>
      </c>
      <c r="K16" s="719"/>
      <c r="L16" s="190" t="s">
        <v>158</v>
      </c>
      <c r="M16" s="191" t="s">
        <v>159</v>
      </c>
    </row>
    <row r="17" spans="2:15" s="175" customFormat="1" ht="67.5" customHeight="1" thickBot="1">
      <c r="C17" s="192" t="s">
        <v>177</v>
      </c>
      <c r="D17" s="193"/>
      <c r="E17" s="194"/>
      <c r="F17" s="195"/>
      <c r="H17" s="728" t="s">
        <v>337</v>
      </c>
      <c r="I17" s="196" t="s">
        <v>178</v>
      </c>
      <c r="J17" s="720" t="s">
        <v>179</v>
      </c>
      <c r="K17" s="721"/>
      <c r="L17" s="690" t="s">
        <v>180</v>
      </c>
      <c r="M17" s="197" t="s">
        <v>181</v>
      </c>
    </row>
    <row r="18" spans="2:15" s="175" customFormat="1" ht="67.5" customHeight="1">
      <c r="C18" s="722" t="s">
        <v>408</v>
      </c>
      <c r="D18" s="723"/>
      <c r="E18" s="723"/>
      <c r="F18" s="724"/>
      <c r="H18" s="729"/>
      <c r="I18" s="196" t="s">
        <v>182</v>
      </c>
      <c r="J18" s="740" t="s">
        <v>183</v>
      </c>
      <c r="K18" s="741"/>
      <c r="L18" s="691"/>
      <c r="M18" s="197" t="s">
        <v>167</v>
      </c>
    </row>
    <row r="19" spans="2:15" s="175" customFormat="1" ht="67.5" customHeight="1" thickBot="1">
      <c r="C19" s="725"/>
      <c r="D19" s="726"/>
      <c r="E19" s="726"/>
      <c r="F19" s="727"/>
      <c r="H19" s="730"/>
      <c r="I19" s="198" t="s">
        <v>184</v>
      </c>
      <c r="J19" s="742"/>
      <c r="K19" s="743"/>
      <c r="L19" s="739"/>
      <c r="M19" s="199" t="s">
        <v>171</v>
      </c>
    </row>
    <row r="20" spans="2:15" s="175" customFormat="1" ht="101.5" customHeight="1" thickBot="1">
      <c r="H20" s="273" t="s">
        <v>338</v>
      </c>
      <c r="I20" s="274" t="s">
        <v>341</v>
      </c>
      <c r="J20" s="702" t="s">
        <v>185</v>
      </c>
      <c r="K20" s="703"/>
      <c r="L20" s="275" t="s">
        <v>340</v>
      </c>
      <c r="M20" s="276" t="s">
        <v>339</v>
      </c>
    </row>
    <row r="21" spans="2:15" s="175" customFormat="1" ht="26" customHeight="1">
      <c r="H21" s="271" t="s">
        <v>173</v>
      </c>
      <c r="I21" s="272"/>
      <c r="J21" s="272"/>
      <c r="K21" s="272"/>
      <c r="L21" s="200"/>
      <c r="M21" s="200"/>
    </row>
    <row r="22" spans="2:15" s="175" customFormat="1" ht="58" customHeight="1">
      <c r="B22" s="293"/>
      <c r="C22" s="167"/>
      <c r="D22" s="167"/>
      <c r="E22" s="167"/>
      <c r="F22" s="167"/>
      <c r="H22" s="168"/>
      <c r="I22" s="168"/>
      <c r="J22" s="168"/>
      <c r="K22" s="168"/>
      <c r="L22" s="168"/>
      <c r="M22" s="168"/>
    </row>
    <row r="23" spans="2:15" s="175" customFormat="1" ht="17.5" thickBot="1">
      <c r="B23" s="293"/>
      <c r="C23" s="297" t="s">
        <v>186</v>
      </c>
      <c r="D23" s="298"/>
      <c r="E23" s="298"/>
      <c r="F23" s="298"/>
      <c r="G23" s="293"/>
      <c r="H23" s="201" t="s">
        <v>187</v>
      </c>
      <c r="I23" s="167"/>
      <c r="J23" s="167"/>
      <c r="K23" s="704" t="s">
        <v>406</v>
      </c>
      <c r="L23" s="705"/>
      <c r="M23" s="171"/>
      <c r="N23" s="293"/>
      <c r="O23" s="293"/>
    </row>
    <row r="24" spans="2:15" ht="17" thickBot="1">
      <c r="B24" s="299" t="s">
        <v>188</v>
      </c>
      <c r="C24" s="300" t="s">
        <v>154</v>
      </c>
      <c r="D24" s="301" t="s">
        <v>22</v>
      </c>
      <c r="E24" s="301" t="s">
        <v>189</v>
      </c>
      <c r="F24" s="302" t="s">
        <v>190</v>
      </c>
      <c r="H24" s="202" t="s">
        <v>191</v>
      </c>
      <c r="I24" s="202" t="s">
        <v>192</v>
      </c>
      <c r="J24" s="203" t="s">
        <v>193</v>
      </c>
      <c r="K24" s="706"/>
      <c r="L24" s="707"/>
      <c r="M24" s="171"/>
    </row>
    <row r="25" spans="2:15" ht="39" customHeight="1">
      <c r="B25" s="676" t="s">
        <v>194</v>
      </c>
      <c r="C25" s="303" t="s">
        <v>195</v>
      </c>
      <c r="D25" s="679" t="s">
        <v>196</v>
      </c>
      <c r="E25" s="681" t="s">
        <v>197</v>
      </c>
      <c r="F25" s="304" t="s">
        <v>198</v>
      </c>
      <c r="H25" s="683" t="s">
        <v>199</v>
      </c>
      <c r="I25" s="685" t="s">
        <v>200</v>
      </c>
      <c r="J25" s="690" t="s">
        <v>201</v>
      </c>
      <c r="K25" s="696" t="s">
        <v>202</v>
      </c>
      <c r="L25" s="697"/>
      <c r="M25" s="171"/>
    </row>
    <row r="26" spans="2:15" ht="39" customHeight="1">
      <c r="B26" s="677"/>
      <c r="C26" s="305" t="s">
        <v>203</v>
      </c>
      <c r="D26" s="680"/>
      <c r="E26" s="682"/>
      <c r="F26" s="306" t="s">
        <v>204</v>
      </c>
      <c r="H26" s="684"/>
      <c r="I26" s="686"/>
      <c r="J26" s="691"/>
      <c r="K26" s="698"/>
      <c r="L26" s="699"/>
      <c r="M26" s="171"/>
      <c r="N26" s="307"/>
      <c r="O26" s="308"/>
    </row>
    <row r="27" spans="2:15" ht="39" customHeight="1">
      <c r="B27" s="677"/>
      <c r="C27" s="309" t="s">
        <v>205</v>
      </c>
      <c r="D27" s="310" t="s">
        <v>206</v>
      </c>
      <c r="E27" s="682"/>
      <c r="F27" s="693" t="s">
        <v>198</v>
      </c>
      <c r="H27" s="204" t="s">
        <v>207</v>
      </c>
      <c r="I27" s="687"/>
      <c r="J27" s="692"/>
      <c r="K27" s="695" t="s">
        <v>208</v>
      </c>
      <c r="L27" s="695"/>
      <c r="M27" s="171"/>
      <c r="N27" s="311"/>
      <c r="O27" s="296"/>
    </row>
    <row r="28" spans="2:15" ht="45" customHeight="1">
      <c r="B28" s="677"/>
      <c r="C28" s="309" t="s">
        <v>209</v>
      </c>
      <c r="D28" s="312">
        <v>0.5</v>
      </c>
      <c r="E28" s="310" t="s">
        <v>38</v>
      </c>
      <c r="F28" s="693"/>
      <c r="H28" s="700" t="s">
        <v>407</v>
      </c>
      <c r="I28" s="700"/>
      <c r="J28" s="700"/>
      <c r="K28" s="700"/>
      <c r="L28" s="700"/>
      <c r="M28" s="171"/>
      <c r="N28" s="295"/>
      <c r="O28" s="689"/>
    </row>
    <row r="29" spans="2:15" ht="34" customHeight="1">
      <c r="B29" s="677"/>
      <c r="C29" s="309" t="s">
        <v>210</v>
      </c>
      <c r="D29" s="688" t="s">
        <v>206</v>
      </c>
      <c r="E29" s="310" t="s">
        <v>30</v>
      </c>
      <c r="F29" s="693"/>
      <c r="H29" s="701"/>
      <c r="I29" s="701"/>
      <c r="J29" s="701"/>
      <c r="K29" s="701"/>
      <c r="L29" s="701"/>
      <c r="N29" s="295"/>
      <c r="O29" s="689"/>
    </row>
    <row r="30" spans="2:15" ht="34" customHeight="1">
      <c r="B30" s="677"/>
      <c r="C30" s="309" t="s">
        <v>211</v>
      </c>
      <c r="D30" s="688"/>
      <c r="E30" s="310" t="s">
        <v>32</v>
      </c>
      <c r="F30" s="693"/>
      <c r="H30" s="701"/>
      <c r="I30" s="701"/>
      <c r="J30" s="701"/>
      <c r="K30" s="701"/>
      <c r="L30" s="701"/>
      <c r="M30" s="171"/>
      <c r="N30" s="295"/>
      <c r="O30" s="689"/>
    </row>
    <row r="31" spans="2:15" ht="34" customHeight="1" thickBot="1">
      <c r="B31" s="678"/>
      <c r="C31" s="313" t="s">
        <v>212</v>
      </c>
      <c r="D31" s="314">
        <v>0.4</v>
      </c>
      <c r="E31" s="315" t="s">
        <v>32</v>
      </c>
      <c r="F31" s="694"/>
      <c r="H31" s="701"/>
      <c r="I31" s="701"/>
      <c r="J31" s="701"/>
      <c r="K31" s="701"/>
      <c r="L31" s="701"/>
      <c r="M31" s="171"/>
      <c r="N31" s="295"/>
      <c r="O31" s="689"/>
    </row>
    <row r="32" spans="2:15" ht="34" customHeight="1">
      <c r="B32" s="658" t="s">
        <v>213</v>
      </c>
      <c r="C32" s="316" t="s">
        <v>214</v>
      </c>
      <c r="D32" s="660" t="s">
        <v>215</v>
      </c>
      <c r="E32" s="662" t="s">
        <v>216</v>
      </c>
      <c r="F32" s="664" t="s">
        <v>217</v>
      </c>
      <c r="J32" s="206"/>
      <c r="K32" s="153"/>
      <c r="L32" s="205"/>
      <c r="M32" s="171"/>
      <c r="N32" s="295"/>
      <c r="O32" s="689"/>
    </row>
    <row r="33" spans="2:15" ht="34" customHeight="1" thickBot="1">
      <c r="B33" s="659"/>
      <c r="C33" s="317" t="s">
        <v>218</v>
      </c>
      <c r="D33" s="661"/>
      <c r="E33" s="663"/>
      <c r="F33" s="665"/>
      <c r="J33" s="206"/>
      <c r="K33" s="153"/>
      <c r="L33" s="171"/>
      <c r="M33" s="171"/>
      <c r="N33" s="295"/>
      <c r="O33" s="689"/>
    </row>
    <row r="34" spans="2:15" ht="34" customHeight="1">
      <c r="B34" s="672" t="s">
        <v>219</v>
      </c>
      <c r="C34" s="318" t="s">
        <v>220</v>
      </c>
      <c r="D34" s="319">
        <v>0.5</v>
      </c>
      <c r="E34" s="320" t="s">
        <v>38</v>
      </c>
      <c r="F34" s="321" t="s">
        <v>221</v>
      </c>
      <c r="J34" s="156"/>
      <c r="K34" s="153"/>
      <c r="L34" s="171"/>
      <c r="M34" s="171"/>
      <c r="N34" s="295"/>
      <c r="O34" s="689"/>
    </row>
    <row r="35" spans="2:15" ht="29.5" thickBot="1">
      <c r="B35" s="673"/>
      <c r="C35" s="322" t="s">
        <v>222</v>
      </c>
      <c r="D35" s="323" t="s">
        <v>215</v>
      </c>
      <c r="E35" s="324" t="s">
        <v>216</v>
      </c>
      <c r="F35" s="325" t="s">
        <v>223</v>
      </c>
      <c r="J35" s="159"/>
      <c r="K35" s="146"/>
      <c r="L35" s="171"/>
      <c r="M35" s="171"/>
      <c r="N35" s="295"/>
      <c r="O35" s="689"/>
    </row>
    <row r="36" spans="2:15" ht="32" customHeight="1">
      <c r="B36" s="674" t="s">
        <v>224</v>
      </c>
      <c r="C36" s="207" t="s">
        <v>225</v>
      </c>
      <c r="D36" s="666" t="s">
        <v>215</v>
      </c>
      <c r="E36" s="668" t="s">
        <v>226</v>
      </c>
      <c r="F36" s="670" t="s">
        <v>223</v>
      </c>
      <c r="J36" s="159"/>
      <c r="K36" s="146"/>
      <c r="L36" s="171"/>
      <c r="M36" s="171"/>
      <c r="N36" s="295"/>
      <c r="O36" s="689"/>
    </row>
    <row r="37" spans="2:15" ht="34" customHeight="1" thickBot="1">
      <c r="B37" s="675"/>
      <c r="C37" s="208" t="s">
        <v>227</v>
      </c>
      <c r="D37" s="667"/>
      <c r="E37" s="669"/>
      <c r="F37" s="671"/>
      <c r="J37" s="146"/>
      <c r="K37" s="146"/>
      <c r="L37" s="171"/>
      <c r="M37" s="171"/>
      <c r="N37" s="295"/>
      <c r="O37" s="689"/>
    </row>
    <row r="38" spans="2:15" ht="34" customHeight="1">
      <c r="C38" s="209" t="s">
        <v>228</v>
      </c>
      <c r="J38" s="146"/>
      <c r="K38" s="146"/>
      <c r="L38" s="171"/>
      <c r="M38" s="171"/>
      <c r="N38" s="295"/>
      <c r="O38" s="689"/>
    </row>
    <row r="39" spans="2:15" ht="20.5" customHeight="1">
      <c r="J39" s="146"/>
      <c r="K39" s="146"/>
      <c r="M39" s="171"/>
      <c r="N39" s="295"/>
      <c r="O39" s="689"/>
    </row>
    <row r="40" spans="2:15" ht="20.5" customHeight="1">
      <c r="N40" s="295"/>
      <c r="O40" s="689"/>
    </row>
    <row r="41" spans="2:15" ht="20.5" customHeight="1">
      <c r="N41" s="295"/>
      <c r="O41" s="296"/>
    </row>
  </sheetData>
  <sheetProtection algorithmName="SHA-512" hashValue="Mp+Nl7FHX46CqqumsEC7xyEHahJuuFqDtK0VcS/BjEU87HIXxwNQ/bXQV2SMIXX7PA1XPUGShTli13yj5fGJNQ==" saltValue="5q73j2opEzgLAHSPcbhJEQ==" spinCount="100000" sheet="1" objects="1" scenarios="1"/>
  <mergeCells count="45">
    <mergeCell ref="D6:F6"/>
    <mergeCell ref="L17:L19"/>
    <mergeCell ref="J18:K19"/>
    <mergeCell ref="C7:C9"/>
    <mergeCell ref="D7:F9"/>
    <mergeCell ref="H7:H12"/>
    <mergeCell ref="I7:I8"/>
    <mergeCell ref="I9:I10"/>
    <mergeCell ref="C10:C11"/>
    <mergeCell ref="D10:F11"/>
    <mergeCell ref="I11:I12"/>
    <mergeCell ref="D12:E12"/>
    <mergeCell ref="J20:K20"/>
    <mergeCell ref="K23:L24"/>
    <mergeCell ref="L9:L10"/>
    <mergeCell ref="L11:L12"/>
    <mergeCell ref="C14:F16"/>
    <mergeCell ref="J16:K16"/>
    <mergeCell ref="J17:K17"/>
    <mergeCell ref="C18:F19"/>
    <mergeCell ref="H17:H19"/>
    <mergeCell ref="J7:J12"/>
    <mergeCell ref="K7:K12"/>
    <mergeCell ref="L7:L8"/>
    <mergeCell ref="O28:O40"/>
    <mergeCell ref="J25:J27"/>
    <mergeCell ref="F27:F31"/>
    <mergeCell ref="K27:L27"/>
    <mergeCell ref="K25:L26"/>
    <mergeCell ref="H28:L31"/>
    <mergeCell ref="B25:B31"/>
    <mergeCell ref="D25:D26"/>
    <mergeCell ref="E25:E27"/>
    <mergeCell ref="H25:H26"/>
    <mergeCell ref="I25:I27"/>
    <mergeCell ref="D29:D30"/>
    <mergeCell ref="B32:B33"/>
    <mergeCell ref="D32:D33"/>
    <mergeCell ref="E32:E33"/>
    <mergeCell ref="F32:F33"/>
    <mergeCell ref="D36:D37"/>
    <mergeCell ref="E36:E37"/>
    <mergeCell ref="F36:F37"/>
    <mergeCell ref="B34:B35"/>
    <mergeCell ref="B36:B37"/>
  </mergeCells>
  <phoneticPr fontId="3" type="noConversion"/>
  <conditionalFormatting sqref="J32:K32">
    <cfRule type="expression" dxfId="1" priority="1">
      <formula>$I$32&gt;$K$32</formula>
    </cfRule>
  </conditionalFormatting>
  <conditionalFormatting sqref="J33:K33">
    <cfRule type="expression" dxfId="0" priority="2">
      <formula>$I$32&gt;$K$33</formula>
    </cfRule>
  </conditionalFormatting>
  <hyperlinks>
    <hyperlink ref="C2" location="试算路径及方案简述!A1" display="返回" xr:uid="{00000000-0004-0000-0D00-000000000000}"/>
  </hyperlinks>
  <pageMargins left="0.7" right="0.7" top="0.75" bottom="0.75" header="0.3" footer="0.3"/>
  <pageSetup orientation="portrait" horizontalDpi="300" verticalDpi="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15</vt:i4>
      </vt:variant>
      <vt:variant>
        <vt:lpstr>命名范围</vt:lpstr>
      </vt:variant>
      <vt:variant>
        <vt:i4>8</vt:i4>
      </vt:variant>
    </vt:vector>
  </HeadingPairs>
  <TitlesOfParts>
    <vt:vector size="23" baseType="lpstr">
      <vt:lpstr>试算路径及方案简述</vt:lpstr>
      <vt:lpstr>厂贴车型明细&amp;贷款金额说明</vt:lpstr>
      <vt:lpstr>系数参数</vt:lpstr>
      <vt:lpstr>厂贴_1+4阶梯贷</vt:lpstr>
      <vt:lpstr>厂贴_双优贷2.0</vt:lpstr>
      <vt:lpstr>厂贴_常规贴息（新CT6）</vt:lpstr>
      <vt:lpstr>厂贴_常规贴息（燃油车）</vt:lpstr>
      <vt:lpstr>厂贴_常规贴息（新能源）</vt:lpstr>
      <vt:lpstr>双优贷2.0_非厂贴</vt:lpstr>
      <vt:lpstr>双优贷1.0_非厂贴</vt:lpstr>
      <vt:lpstr>新通用_非贴息</vt:lpstr>
      <vt:lpstr>新通用_经销商贴息</vt:lpstr>
      <vt:lpstr>新能源首付低于20%时 最高贷款金额测算</vt:lpstr>
      <vt:lpstr>参数-非厂贴方案配置</vt:lpstr>
      <vt:lpstr>产品准入政策&amp;基础参数</vt:lpstr>
      <vt:lpstr>CT5_</vt:lpstr>
      <vt:lpstr>CT6_</vt:lpstr>
      <vt:lpstr>XT4_</vt:lpstr>
      <vt:lpstr>XT6_</vt:lpstr>
      <vt:lpstr>车系</vt:lpstr>
      <vt:lpstr>车系1</vt:lpstr>
      <vt:lpstr>全新XT5</vt:lpstr>
      <vt:lpstr>新CT6_</vt:lpstr>
    </vt:vector>
  </TitlesOfParts>
  <Company>SaicGMAC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TT</dc:creator>
  <cp:lastModifiedBy>Zhang, Emily</cp:lastModifiedBy>
  <dcterms:created xsi:type="dcterms:W3CDTF">2025-06-28T08:04:05Z</dcterms:created>
  <dcterms:modified xsi:type="dcterms:W3CDTF">2026-04-01T09:13:06Z</dcterms:modified>
</cp:coreProperties>
</file>